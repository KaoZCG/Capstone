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5"/>
    <sheet state="visible" name="Plan de prueba" sheetId="2" r:id="rId6"/>
    <sheet state="visible" name="Defectos" sheetId="3" r:id="rId7"/>
    <sheet state="visible" name="Control" sheetId="4" r:id="rId8"/>
    <sheet state="visible" name="Datos" sheetId="5" r:id="rId9"/>
    <sheet state="hidden" name="Datos del plan" sheetId="6" r:id="rId10"/>
  </sheets>
  <definedNames>
    <definedName hidden="1" localSheetId="1" name="_xlnm._FilterDatabase">'Plan de prueba'!$E$1:$T$309</definedName>
  </definedNames>
  <calcPr/>
</workbook>
</file>

<file path=xl/sharedStrings.xml><?xml version="1.0" encoding="utf-8"?>
<sst xmlns="http://schemas.openxmlformats.org/spreadsheetml/2006/main" count="704" uniqueCount="333">
  <si>
    <t xml:space="preserve"> </t>
  </si>
  <si>
    <t>ID</t>
  </si>
  <si>
    <t>Nombre de la prueba</t>
  </si>
  <si>
    <t>Tipo</t>
  </si>
  <si>
    <t>Resultado esperado</t>
  </si>
  <si>
    <t>Pre condicion</t>
  </si>
  <si>
    <t>Resultado obtenido</t>
  </si>
  <si>
    <t>Datos de prueba</t>
  </si>
  <si>
    <t>Modulo a probar</t>
  </si>
  <si>
    <t>Criterios de aceptacion</t>
  </si>
  <si>
    <t>Estrategia</t>
  </si>
  <si>
    <t>Resultado</t>
  </si>
  <si>
    <t>Candidato a automatizar</t>
  </si>
  <si>
    <t>Responsable ejecución</t>
  </si>
  <si>
    <t>MTC</t>
  </si>
  <si>
    <t>ATC_0010</t>
  </si>
  <si>
    <t xml:space="preserve">Plan de prueba software ALTOQUECV </t>
  </si>
  <si>
    <t>Validar el registro exitoso con datos válidos</t>
  </si>
  <si>
    <t>Funcional</t>
  </si>
  <si>
    <t>La interfaz procesa el formulario exitosamente y transiciona a la vista 'Paso 2: Verificar correo' o mensaje de confirmación en pantalla.</t>
  </si>
  <si>
    <t>Estar en vista de registro en Desktop</t>
  </si>
  <si>
    <t>Pendiente de ejecución</t>
  </si>
  <si>
    <t>Formulario completo con datos válidos (nombre, correo, contraseña) y checkbox de términos marcado</t>
  </si>
  <si>
    <t>Registro</t>
  </si>
  <si>
    <t>Permitir completar el registro y avanzar a la siguiente vista</t>
  </si>
  <si>
    <t>Caja Negra</t>
  </si>
  <si>
    <t>No ejecutado</t>
  </si>
  <si>
    <t>SI</t>
  </si>
  <si>
    <t>Amaro Poblete</t>
  </si>
  <si>
    <t>ATC_0020</t>
  </si>
  <si>
    <t>Validar el rechazo de credenciales duplicadas</t>
  </si>
  <si>
    <t>La interfaz no permite avanzar y muestra una alerta visual indicando que el correo electrónico ya se encuentra registrado.</t>
  </si>
  <si>
    <t>Correo electrónico previamente registrado</t>
  </si>
  <si>
    <t>Prevenir avance y notificar visualmente duplicidad de usuario</t>
  </si>
  <si>
    <t>ATC_0030</t>
  </si>
  <si>
    <t>Validar funcionalidad y estados del botón 'Continuar'</t>
  </si>
  <si>
    <t>El botón permanece deshabilitado hasta completar todos los campos obligatorios y marcar el checkbox, pasando a habilitado.</t>
  </si>
  <si>
    <t>Formulario incompleto vs formulario con campos válidos completos</t>
  </si>
  <si>
    <t>Bloqueo visual y funcional de envíos incompletos</t>
  </si>
  <si>
    <t>ID Defecto</t>
  </si>
  <si>
    <t>ATC_0040</t>
  </si>
  <si>
    <t>Validar estilos de alertas de validación (Fidelidad UI)</t>
  </si>
  <si>
    <t>No Funcional</t>
  </si>
  <si>
    <t>Título / Resumen</t>
  </si>
  <si>
    <t>El borde del input cambia a color rojo de advertencia/error, mostrando ícono y mensaje de validación según diseño de Figma.</t>
  </si>
  <si>
    <t>Descripción (Pasos, Esperado, Actual)</t>
  </si>
  <si>
    <t>Vista de registro cargada en Desktop</t>
  </si>
  <si>
    <t>Componente / Módulo</t>
  </si>
  <si>
    <t>Formato de correo electrónico inválido (ej. usuario@dominio sin .com)</t>
  </si>
  <si>
    <t>Versión / Build</t>
  </si>
  <si>
    <t>Entorno</t>
  </si>
  <si>
    <t>Fidelidad de estilos visuales ante errores de validación</t>
  </si>
  <si>
    <t>Estado</t>
  </si>
  <si>
    <t>Severidad</t>
  </si>
  <si>
    <t>Prioridad</t>
  </si>
  <si>
    <t>Reportado Por</t>
  </si>
  <si>
    <t>Fecha Reporte</t>
  </si>
  <si>
    <t>NO</t>
  </si>
  <si>
    <t>Asignado A</t>
  </si>
  <si>
    <t>Evidencia (Link/Jira)</t>
  </si>
  <si>
    <t>ATC_0050</t>
  </si>
  <si>
    <t>Validar tipografía y maquetación general (Fidelidad UI)</t>
  </si>
  <si>
    <t>DEF-001</t>
  </si>
  <si>
    <t>Fuentes tipográficas, tamaños de texto, espaciados y paleta de colores del formulario coinciden con el diseño de Figma.</t>
  </si>
  <si>
    <t>N/A</t>
  </si>
  <si>
    <t>Fidelidad visual general y coherencia con prototipo Figma</t>
  </si>
  <si>
    <t>QA</t>
  </si>
  <si>
    <t>Nuevo</t>
  </si>
  <si>
    <t>ATC_0060</t>
  </si>
  <si>
    <t>Validar autenticación exitosa con credenciales válidas</t>
  </si>
  <si>
    <t>Integrantes:
Amaro Poblete
César Gangas
Marcela Segovia</t>
  </si>
  <si>
    <t>1 - Bloqueante</t>
  </si>
  <si>
    <t>La interfaz valida el acceso y redirige a la vista principal (Dashboard) en Desktop.</t>
  </si>
  <si>
    <t>Estar en vista de Login en Desktop</t>
  </si>
  <si>
    <t>Correo electrónico registrado y contraseña correcta</t>
  </si>
  <si>
    <t>Login</t>
  </si>
  <si>
    <t>Permitir inicio de sesión y redirección a vista principal</t>
  </si>
  <si>
    <t>Alta</t>
  </si>
  <si>
    <t>ATC_0070</t>
  </si>
  <si>
    <t>Validar rechazo por credenciales incorrectas</t>
  </si>
  <si>
    <t>La interfaz no permite avanzar y muestra una alerta visual clara de error de credenciales.</t>
  </si>
  <si>
    <t>Correo electrónico registrado y contraseña errónea</t>
  </si>
  <si>
    <t>Bloquear acceso no autorizado y mostrar alerta en pantalla</t>
  </si>
  <si>
    <t>ATC_0080</t>
  </si>
  <si>
    <t>Validar funcionalidad de botones de Social Login</t>
  </si>
  <si>
    <t>Al interactuar con los botones de Google o LinkedIn, se despliega la interfaz o redirección del proveedor correspondiente.</t>
  </si>
  <si>
    <t>Vista de Login abierta en Desktop</t>
  </si>
  <si>
    <t>Clic en botón Google / LinkedIn</t>
  </si>
  <si>
    <t>Integración visual e interacción con botones de acceso social</t>
  </si>
  <si>
    <t>ATC_0090</t>
  </si>
  <si>
    <t>Validar estilos y posicionamiento del contenedor (Fidelidad UI)</t>
  </si>
  <si>
    <t>Contenedor principal centrado, respetando márgenes, sombras, bordes redondeados y alineación según Figma.</t>
  </si>
  <si>
    <t>Resolución de escritorio estándar (Desktop)</t>
  </si>
  <si>
    <t>Fidelidad de layout y estructura de contenedor en pantalla</t>
  </si>
  <si>
    <t>ATC_0100</t>
  </si>
  <si>
    <t>Validar botón de alternancia 'Modo Oscuro'</t>
  </si>
  <si>
    <t>El tema visual de la interfaz cambia entre modo claro y oscuro dinámicamente sin recargar la página.</t>
  </si>
  <si>
    <t>Vista de Login cargada en Desktop</t>
  </si>
  <si>
    <t>Clic en interruptor/botón de Modo Oscuro</t>
  </si>
  <si>
    <t>Cambio dinámico y fluido de estilos de tema visual</t>
  </si>
  <si>
    <t>ATC_0110</t>
  </si>
  <si>
    <t>Validar envío de solicitud de recuperación de contraseña</t>
  </si>
  <si>
    <t>La interfaz muestra un mensaje informativo en pantalla confirmando el envío de las instrucciones al correo.</t>
  </si>
  <si>
    <t>Estar en vista de Recuperar Contraseña en Desktop</t>
  </si>
  <si>
    <t>Correo electrónico registrado válido</t>
  </si>
  <si>
    <t>Recuperar Contraseña</t>
  </si>
  <si>
    <t>Notificación clara en interfaz del envío de recuperación</t>
  </si>
  <si>
    <t>ATC_0120</t>
  </si>
  <si>
    <t>Validar funcionalidad de enlaces de navegación secundaria</t>
  </si>
  <si>
    <t>El enlace 'Volver' redirige a /login y el enlace de 'Soporte' abre el canal o cliente de ayuda.</t>
  </si>
  <si>
    <t>Vista de recuperación abierta en Desktop</t>
  </si>
  <si>
    <t>Clic en enlace Volver / Soporte</t>
  </si>
  <si>
    <t>Navegación secundaria y enlaces de retorno operativos</t>
  </si>
  <si>
    <t>ATC_0130</t>
  </si>
  <si>
    <t>Validar restablecimiento de contraseña exitoso (Flujo UI)</t>
  </si>
  <si>
    <t>Al ingresar nueva contraseña válida, la interfaz muestra confirmación exitosa y redirige a la vista de Login.</t>
  </si>
  <si>
    <t>Estar en pantalla de restablecer contraseña en Desktop</t>
  </si>
  <si>
    <t>Nueva contraseña que cumple requisitos de seguridad</t>
  </si>
  <si>
    <t>Confirmación visual en pantalla y redirección a Login</t>
  </si>
  <si>
    <t>ATC_0140</t>
  </si>
  <si>
    <t>Validar mensaje ante enlace de recuperación inválido</t>
  </si>
  <si>
    <t>La interfaz renderiza vista de error 'Enlace inválido o expirado' y muestra botón para solicitar uno nuevo.</t>
  </si>
  <si>
    <t>Acceder con enlace de restablecimiento caducado en Desktop</t>
  </si>
  <si>
    <t>Enlace con parámetro inválido o expirado</t>
  </si>
  <si>
    <t>Manejo visual adecuado de error y opción de reintento</t>
  </si>
  <si>
    <t>ATC_0160</t>
  </si>
  <si>
    <t>Validar distinción de mayúsculas (Case Sensitivity) en contraseña</t>
  </si>
  <si>
    <t>El campo contraseña distingue estrictamente mayúsculas/minúsculas y la UI muestra error si no coincide exactamente.</t>
  </si>
  <si>
    <t>Estar en formulario de Login en Desktop</t>
  </si>
  <si>
    <t>Contraseña con alteración de mayúsculas/minúsculas</t>
  </si>
  <si>
    <t>Validación estricta de mayúsculas y minúsculas en input</t>
  </si>
  <si>
    <t>ATC_0170</t>
  </si>
  <si>
    <t>Validar prevención de envíos múltiples (Doble clic en botón)</t>
  </si>
  <si>
    <t>El botón de envío se deshabilita o muestra indicador de carga tras el primer clic evitando acciones repetidas.</t>
  </si>
  <si>
    <t>Formulario con datos completos listo para enviar en Desktop</t>
  </si>
  <si>
    <t>Doble clic consecutivo rápido en botón principal</t>
  </si>
  <si>
    <t>Bloqueo interactivo en interfaz para prevenir doble envío</t>
  </si>
  <si>
    <t>ATC_0180</t>
  </si>
  <si>
    <t>Validar visibilidad y ocultamiento de contraseña (Toggle ver/ocultar)</t>
  </si>
  <si>
    <t>Al hacer clic en el ícono del ojo, el tipo de input alterna entre texto oculto y visible.</t>
  </si>
  <si>
    <t>Campo de contraseña con texto ingresado en Login o Registro en Desktop</t>
  </si>
  <si>
    <t>Clic en ícono de visibilidad de contraseña</t>
  </si>
  <si>
    <t>Alternancia fluida entre texto visible y caracteres ocultos</t>
  </si>
  <si>
    <t>ATC_0190</t>
  </si>
  <si>
    <t>Validar validación de campos obligatorios vacíos en formulario</t>
  </si>
  <si>
    <t>Al intentar interactuar o enviar con campos en blanco, la interfaz resalta cada campo requerido con advertencia visual.</t>
  </si>
  <si>
    <t>Formulario de registro con campos en blanco</t>
  </si>
  <si>
    <t>Dejar campos obligatorios vacíos e interactuar con botón de envío</t>
  </si>
  <si>
    <t>Alerta visual en cada campo requerido sin recargar la página</t>
  </si>
  <si>
    <t>ATC_0200</t>
  </si>
  <si>
    <t>Validar coincidencia y confirmación de contraseñas</t>
  </si>
  <si>
    <t>Si la confirmación no coincide con la contraseña, la interfaz muestra advertencia inmediata y bloquea el botón.</t>
  </si>
  <si>
    <t>Formulario de registro o recuperación abierto</t>
  </si>
  <si>
    <t>Contraseña: 'ClaveSegura123' vs Confirmación: 'ClaveDistinta456'</t>
  </si>
  <si>
    <t>Validación interactiva de coincidencia en tiempo real</t>
  </si>
  <si>
    <t>ATC_0210</t>
  </si>
  <si>
    <t>Validación de accesibilidad con axe dev Tools en registro</t>
  </si>
  <si>
    <t>Reporte de axe DevTools sin violaciones críticas ni serias de contraste, etiquetas de formulario y estructura ARIA.</t>
  </si>
  <si>
    <t>Pantalla de Registro abierta en navegador con extensión axe DevTools</t>
  </si>
  <si>
    <t>Escaneo automatizado de página completa (Full Page Scan)</t>
  </si>
  <si>
    <t>Cumplimiento de estándares WCAG 2.1 AA en formulario y componentes interactivos</t>
  </si>
  <si>
    <t>ATC_0220</t>
  </si>
  <si>
    <t>Validación de accesibilidad con axe dev Tools en login</t>
  </si>
  <si>
    <t>Reporte de axe DevTools sin violaciones críticas ni serias en inputs de credenciales, botones y enlaces.</t>
  </si>
  <si>
    <t>Pantalla de Login abierta en navegador con extensión axe DevTools</t>
  </si>
  <si>
    <t>Cumplimiento de estándares WCAG 2.1 AA en campos de acceso y botones sociales</t>
  </si>
  <si>
    <t>ATC_0230</t>
  </si>
  <si>
    <t>Validación de accesibilidad con axe dev Tools en perfil maestro</t>
  </si>
  <si>
    <t>Reporte de axe DevTools sin violaciones de navegación por teclado, contraste ni etiquetas en vista de perfil.</t>
  </si>
  <si>
    <t>Vista de Perfil de usuario cargada en navegador con axe DevTools</t>
  </si>
  <si>
    <t>Perfil de Usuario</t>
  </si>
  <si>
    <t>Cumplimiento de estándares WCAG 2.1 AA en secciones informativas y editables de perfil</t>
  </si>
  <si>
    <t>ATC_0231</t>
  </si>
  <si>
    <t>Validación de accesibilidad con axe dev Tools en Landing Page</t>
  </si>
  <si>
    <t>Reporte de axe DevTools sin violaciones en controles de configuración, toggles y selectores de opciones.</t>
  </si>
  <si>
    <t>Vista de Configuración cargada en navegador con axe DevTools</t>
  </si>
  <si>
    <t>Configuración</t>
  </si>
  <si>
    <t>Cumplimiento de estándares WCAG 2.1 AA en paneles de ajustes y preferencias</t>
  </si>
  <si>
    <t>Caja Blanca</t>
  </si>
  <si>
    <t>Completar</t>
  </si>
  <si>
    <t>Hibrido</t>
  </si>
  <si>
    <t>ATC_0232</t>
  </si>
  <si>
    <t>Validación de accesibilidad con axe dev Tools en main dashboard</t>
  </si>
  <si>
    <t>Reporte de axe DevTools sin violaciones de jerarquía de encabezados, contraste ni accesibilidad en widgets del dashboard.</t>
  </si>
  <si>
    <t>Vista principal de Dashboard cargada en navegador con axe DevTools</t>
  </si>
  <si>
    <t>Dashboard</t>
  </si>
  <si>
    <t>Cumplimiento de estándares WCAG 2.1 AA en elementos interactivos, métricas y menú principal</t>
  </si>
  <si>
    <t>ATC_0260</t>
  </si>
  <si>
    <t>Validar navegación directa desde Login hacia Registro</t>
  </si>
  <si>
    <t>Al hacer clic en el enlace '¿No tienes cuenta? Regístrate', la interfaz redirige de inmediato a la vista de Registro.</t>
  </si>
  <si>
    <t>Estar en vista de Login</t>
  </si>
  <si>
    <t>Clic en enlace de creación de cuenta</t>
  </si>
  <si>
    <t>Navegación</t>
  </si>
  <si>
    <t>Redirección inmediata y carga limpia del formulario de registro</t>
  </si>
  <si>
    <t>ATC_0270</t>
  </si>
  <si>
    <t>Validar navegación hacia Recuperación de Contraseña desde Login</t>
  </si>
  <si>
    <t>Al hacer clic en '¿Olvidaste tu contraseña?', la aplicación abre la vista de Recuperar Contraseña.</t>
  </si>
  <si>
    <t>Clic en enlace de olvido de contraseña</t>
  </si>
  <si>
    <t>Transición fluida a la pantalla de recuperación sin errores de carga</t>
  </si>
  <si>
    <t>ATC_0280</t>
  </si>
  <si>
    <t>Validar menú de navegación y barra lateral (Sidebar) en vista principal</t>
  </si>
  <si>
    <t>Los enlaces de la barra lateral navegan a las secciones correspondientes (Perfil, Configuración, Dashboard) y resaltan el ítem activo.</t>
  </si>
  <si>
    <t>Usuario situado en Dashboard principal</t>
  </si>
  <si>
    <t>Clic sucesivo en ítems del menú lateral</t>
  </si>
  <si>
    <t>Cambio de vista sin desconfiguración y marcado visual del elemento activo</t>
  </si>
  <si>
    <t>ATC_0290</t>
  </si>
  <si>
    <t>Validar edición y persistencia de campos de información personal</t>
  </si>
  <si>
    <t>Los campos de texto editables (Nombre, Apellidos, Teléfono, Titular) actualizan su valor visualmente y persisten al guardar.</t>
  </si>
  <si>
    <t>Usuario autenticado en vista 'Mi perfil maestro' en Desktop</t>
  </si>
  <si>
    <t>Nombre: 'Juan', Apellidos: 'Pérez', Teléfono: '+56912345678', Titular: 'Ingeniero QA'</t>
  </si>
  <si>
    <t>Mi perfil maestro</t>
  </si>
  <si>
    <t>Actualización visual y persistencia de datos en campos de información personal</t>
  </si>
  <si>
    <t>ATC_0300</t>
  </si>
  <si>
    <t>Validar adición de registros en sección de experiencia laboral</t>
  </si>
  <si>
    <t>La interfaz despliega los campos correspondientes (Empresa, Cargo, Período, Descripción) e incorpora la tarjeta al listado visual de experiencias.</t>
  </si>
  <si>
    <t>Usuario en 'Mi perfil maestro' sección Experiencia en Desktop</t>
  </si>
  <si>
    <t>Empresa: 'Tech Corp', Cargo: 'QA Analyst', Período: '2023 - Presente', Descripción: 'Pruebas de software'</t>
  </si>
  <si>
    <t>Adición correcta de la tarjeta de experiencia en la interfaz sin errores visuales</t>
  </si>
  <si>
    <t>ATC_0310</t>
  </si>
  <si>
    <t>Validar adición y eliminación de tags en sección de habilidades</t>
  </si>
  <si>
    <t>Al ingresar un valor y confirmar, se genera el chip de habilidad en pantalla; al hacer clic en el botón de eliminar ('x'), el chip desaparece de la interfaz.</t>
  </si>
  <si>
    <t>Usuario en 'Mi perfil maestro' sección Habilidades en Desktop</t>
  </si>
  <si>
    <t>Entrada de texto: 'Selenium', 'Postman', clic en remover tag 'Selenium'</t>
  </si>
  <si>
    <t>Creación y eliminación dinámica de tags de habilidades en tiempo real</t>
  </si>
  <si>
    <t>ATC_0320</t>
  </si>
  <si>
    <t>Validar estados del botón 'Guardar cambios' y alerta visual</t>
  </si>
  <si>
    <t>Al hacer clic en 'Guardar cambios', el botón transiciona temporalmente a estado deshabilitado/carga y despliega mensaje o toast de confirmación exitosa.</t>
  </si>
  <si>
    <t>Usuario en 'Mi perfil maestro' con cambios ingresados en Desktop</t>
  </si>
  <si>
    <t>Clic en botón primario 'Guardar cambios'</t>
  </si>
  <si>
    <t>Transición de estado interactivo del botón y notificación visual de éxito</t>
  </si>
  <si>
    <t>ATC_0330</t>
  </si>
  <si>
    <t>Validar botón 'Descartar cambios' o 'Cancelar'</t>
  </si>
  <si>
    <t>Al presionar 'Cancelar' / 'Descartar', los campos del formulario restablecen los valores previos a la edición sin alterar los datos guardados.</t>
  </si>
  <si>
    <t>Usuario en 'Mi perfil maestro' con modificaciones no guardadas en Desktop</t>
  </si>
  <si>
    <t>Modificación de campo de texto y posterior clic en 'Cancelar'</t>
  </si>
  <si>
    <t>Restablecimiento de los valores de los inputs al estado original previo</t>
  </si>
  <si>
    <t>ATC_0340</t>
  </si>
  <si>
    <t>Validar carga de archivo base en formatos permitidos (PDF/DOCX)</t>
  </si>
  <si>
    <t>La zona de carga (Drag &amp; Drop / Selector de archivos) recibe el archivo y muestra su nombre, peso y estado cargado en la UI.</t>
  </si>
  <si>
    <t>Usuario en módulo 'Adaptador de CV' en Desktop</t>
  </si>
  <si>
    <t>Archivo 'CV_Prueba.pdf' (1.5 MB)</t>
  </si>
  <si>
    <t>Adaptador de CV</t>
  </si>
  <si>
    <t>Carga y visualización correcta del archivo base seleccionado en la interfaz</t>
  </si>
  <si>
    <t>ATC_0350</t>
  </si>
  <si>
    <t>Validar restricción visual ante formato de archivo no permitido o tamaño excedido</t>
  </si>
  <si>
    <t>La interfaz rechaza el archivo y muestra un mensaje de alerta visual indicando formatos soportados (.pdf, .docx) y tamaño máximo permitido.</t>
  </si>
  <si>
    <t>Archivo no soportado (ej. 'archivo.exe' o 'imagen.png') o archivo superior al límite establecido</t>
  </si>
  <si>
    <t>Bloqueo de archivo inválido y despliegue de notificación visual informativa</t>
  </si>
  <si>
    <t>ATC_0360</t>
  </si>
  <si>
    <t>Validar campo de entrada de descripción de oferta laboral</t>
  </si>
  <si>
    <t>El área de texto (textarea) permite ingresar y editar la descripción del puesto, reflejando el texto ingresado sin truncamiento.</t>
  </si>
  <si>
    <t>Texto estructurado con descripción de responsabilidades y requerimientos de la vacante</t>
  </si>
  <si>
    <t>Ingreso fluido y visualización íntegra del texto de la vacante en la interfaz</t>
  </si>
  <si>
    <t>ATC_0370</t>
  </si>
  <si>
    <t>Validar interacción y estado de carga del botón 'Adaptar CV'</t>
  </si>
  <si>
    <t>Al accionar el botón 'Adaptar CV' con los campos requeridos completos, el botón pasa a estado deshabilitado (loading con indicador visual) para evitar envíos duplicados.</t>
  </si>
  <si>
    <t>Usuario en 'Adaptador de CV' con archivo cargado y descripción de oferta ingresada en Desktop</t>
  </si>
  <si>
    <t>OK</t>
  </si>
  <si>
    <t>Baja</t>
  </si>
  <si>
    <t>NOK</t>
  </si>
  <si>
    <t>Media</t>
  </si>
  <si>
    <t>UAT</t>
  </si>
  <si>
    <t>Código</t>
  </si>
  <si>
    <t>Bloqueado</t>
  </si>
  <si>
    <t>End to End</t>
  </si>
  <si>
    <t>Obsoleto</t>
  </si>
  <si>
    <t>Stress</t>
  </si>
  <si>
    <t>Rendimiento</t>
  </si>
  <si>
    <t>Carga</t>
  </si>
  <si>
    <t>Clic en botón primario 'Adaptar CV'</t>
  </si>
  <si>
    <t>Transición al estado interactivo de procesamiento y bloqueo temporal de reenvío</t>
  </si>
  <si>
    <t>ATC_0380</t>
  </si>
  <si>
    <t>Validar visualización previa y acción del botón 'Descargar PDF'</t>
  </si>
  <si>
    <t>La interfaz muestra el área de previsualización del documento generado y habilita el botón 'Descargar PDF' permitiendo la descarga local del archivo.</t>
  </si>
  <si>
    <t>Documento adaptado listo para previsualización en 'Adaptador de CV' en Desktop</t>
  </si>
  <si>
    <t>Clic en botón 'Descargar PDF'</t>
  </si>
  <si>
    <t>Habilitación de previsualización en pantalla y ejecución de descarga en formato PDF</t>
  </si>
  <si>
    <t>ATC_0390</t>
  </si>
  <si>
    <t>Validación de accesibilidad con axe dev Tools en adaptador de CV</t>
  </si>
  <si>
    <t>Reporte de axe DevTools sin violaciones de contraste, jerarquía de encabezados, estructura de inputs ni accesibilidad en zona drag&amp;drop y botones.</t>
  </si>
  <si>
    <t>Vista de 'Adaptador de CV' cargada en navegador con extensión axe DevTools</t>
  </si>
  <si>
    <t>Cumplimiento de estándares WCAG 2.1 AA en área de carga de archivo, formulario de vacante y controles de acción</t>
  </si>
  <si>
    <t>ATC_0400</t>
  </si>
  <si>
    <t>Validar renderizado inicial y visualización de la sección Hero</t>
  </si>
  <si>
    <t>La Landing Page carga correctamente mostrando el título principal, subtítulo, propuesta de valor y botón CTA visible y habilitado.</t>
  </si>
  <si>
    <t>Navegador abierto en la URL principal de ALTOQUECV</t>
  </si>
  <si>
    <t>Carga inicial de URL principal (Home/Landing)</t>
  </si>
  <si>
    <t>Landing Page</t>
  </si>
  <si>
    <t>Despliegue correcto y completo del encabezado y elementos principales de la sección Hero</t>
  </si>
  <si>
    <t>ATC_0410</t>
  </si>
  <si>
    <t>Validar funcionalidad y redirección del botón CTA principal</t>
  </si>
  <si>
    <t>Al hacer clic en el botón de llamado a la acción (CTA), la interfaz redirige inmediatamente al formulario de Registro de usuario.</t>
  </si>
  <si>
    <t>Usuario no autenticado en la Landing Page</t>
  </si>
  <si>
    <t>Clic en botón CTA primario ('Comenzar gratis' / 'Crear mi CV')</t>
  </si>
  <si>
    <t>Redirección inmediata a la vista de Registro sin demoras ni errores de carga</t>
  </si>
  <si>
    <t>ATC_0420</t>
  </si>
  <si>
    <t>Validar redirección a Login desde la barra de navegación superior</t>
  </si>
  <si>
    <t>Al accionar el enlace/botón 'Iniciar Sesión' del Navbar, la aplicación redirige de forma limpia a la pantalla de Login.</t>
  </si>
  <si>
    <t>Usuario situado en la Landing Page</t>
  </si>
  <si>
    <t>Clic en botón 'Iniciar Sesión' en barra superior de navegación</t>
  </si>
  <si>
    <t>Transición fluida a la pantalla de Login preservando estado y estilos</t>
  </si>
  <si>
    <t>ATC_0430</t>
  </si>
  <si>
    <t>Validar despliegue de sección de características y beneficios</t>
  </si>
  <si>
    <t>Se visualizan todas las tarjetas informativas con sus respectivos íconos, títulos, descripciones y efectos hover interactivos.</t>
  </si>
  <si>
    <t>Usuario con scroll en sección de características de la Landing Page</t>
  </si>
  <si>
    <t>Scroll e interacción visual (hover) sobre tarjetas de características</t>
  </si>
  <si>
    <t>Despliegue íntegro de tarjetas de beneficios sin descuadre visual ni solapamiento</t>
  </si>
  <si>
    <t>ATC_0440</t>
  </si>
  <si>
    <t>Validar visualización de sección de testimonios y opiniones</t>
  </si>
  <si>
    <t>Los testimonios cargan con avatar, nombre, rol y texto de recomendación, respondiendo a controles de navegación si aplica.</t>
  </si>
  <si>
    <t>Usuario ubicado en la sección de testimonios de la Landing Page</t>
  </si>
  <si>
    <t>Desplazamiento por testimonios o visualización de opiniones de usuarios</t>
  </si>
  <si>
    <t>Carga correcta de avatares, textos íntegros y funcionamiento de navegación de testimonios</t>
  </si>
  <si>
    <t>ATC_0450</t>
  </si>
  <si>
    <t>Validar enlaces y navegación secundaria en el pie de página (Footer)</t>
  </si>
  <si>
    <t>Todos los enlaces del pie de página (Términos, Privacidad, Contacto, Redes) son interactivos y dirigen a sus destinos correspondientes.</t>
  </si>
  <si>
    <t>Usuario situado en la parte inferior de la Landing Page</t>
  </si>
  <si>
    <t>Clic sucesivo en enlaces de Términos y Condiciones, Privacidad y Redes</t>
  </si>
  <si>
    <t>Enlaces operativos sin URLs rotas ni errores de redirección</t>
  </si>
  <si>
    <t>ATC_0460</t>
  </si>
  <si>
    <t>Validar diseño adaptable (Responsive Design) en resoluciones Mobile y Tablet</t>
  </si>
  <si>
    <t>La interfaz se adapta fluidamente: la barra de navegación se convierte en menú hamburguesa y el contenido se apila sin desbordamiento horizontal.</t>
  </si>
  <si>
    <t>Landing Page abierta en navegador en viewport móvil y tablet</t>
  </si>
  <si>
    <t>Emulación de resoluciones 375x667 px y 768x1024 px en DevTools</t>
  </si>
  <si>
    <t>Ausencia de scroll horizontal no deseado, menú hamburguesa operativo y legibilidad tipográfica adecuada</t>
  </si>
  <si>
    <t>Casos</t>
  </si>
  <si>
    <t>Defecto</t>
  </si>
  <si>
    <t>Total de casos</t>
  </si>
  <si>
    <t>% de  avance</t>
  </si>
  <si>
    <t>Total casos que ejecuto cada integrante del equipo</t>
  </si>
  <si>
    <t>César Gangas</t>
  </si>
  <si>
    <t>Marcela Segovia</t>
  </si>
  <si>
    <t>Total Casos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</si>
</sst>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/M/YYYY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sz val="24.0"/>
      <color theme="1"/>
      <name val="Calibri"/>
    </font>
    <font/>
    <font>
      <b/>
      <sz val="11.0"/>
      <color rgb="FFFFFFFF"/>
      <name val="Calibri"/>
    </font>
    <font>
      <sz val="11.0"/>
      <color rgb="FF000000"/>
      <name val="Calibri"/>
    </font>
    <font>
      <b/>
      <sz val="11.0"/>
      <color rgb="FF1F4E78"/>
      <name val="Calibri"/>
    </font>
    <font>
      <b/>
      <sz val="11.0"/>
      <color rgb="FF9C0006"/>
      <name val="Calibri"/>
    </font>
    <font>
      <u/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Inconsolata"/>
    </font>
    <font>
      <sz val="9.0"/>
      <color rgb="FF000000"/>
      <name val="Calibri"/>
    </font>
    <font>
      <sz val="20.0"/>
      <color theme="1"/>
      <name val="Calibri"/>
    </font>
    <font>
      <u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FFC7CE"/>
        <bgColor rgb="FFFFC7CE"/>
      </patternFill>
    </fill>
  </fills>
  <borders count="39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 style="thin">
        <color rgb="FF000000"/>
      </top>
    </border>
    <border>
      <left style="thin">
        <color rgb="FF000000"/>
      </left>
    </border>
    <border>
      <right/>
      <bottom style="thin">
        <color rgb="FF000000"/>
      </bottom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ill="1" applyFont="1"/>
    <xf borderId="3" fillId="3" fontId="1" numFmtId="0" xfId="0" applyAlignment="1" applyBorder="1" applyFill="1" applyFont="1">
      <alignment horizontal="center" shrinkToFit="0" vertical="center" wrapText="1"/>
    </xf>
    <xf borderId="4" fillId="2" fontId="1" numFmtId="0" xfId="0" applyBorder="1" applyFill="1" applyFont="1"/>
    <xf borderId="5" fillId="2" fontId="1" numFmtId="0" xfId="0" applyBorder="1" applyFill="1" applyFont="1"/>
    <xf borderId="3" fillId="0" fontId="1" numFmtId="0" xfId="0" applyAlignment="1" applyBorder="1" applyFont="1">
      <alignment horizontal="center" shrinkToFit="0" vertical="center" wrapText="1"/>
    </xf>
    <xf borderId="6" fillId="2" fontId="1" numFmtId="0" xfId="0" applyBorder="1" applyFill="1" applyFont="1"/>
    <xf borderId="7" fillId="2" fontId="1" numFmtId="0" xfId="0" applyBorder="1" applyFill="1" applyFont="1"/>
    <xf borderId="8" fillId="3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3" fillId="4" fontId="1" numFmtId="1" xfId="0" applyAlignment="1" applyBorder="1" applyFill="1" applyFont="1" applyNumberFormat="1">
      <alignment horizontal="center" shrinkToFit="0" vertical="center" wrapText="1"/>
    </xf>
    <xf borderId="3" fillId="4" fontId="1" numFmtId="0" xfId="0" applyAlignment="1" applyBorder="1" applyFill="1" applyFont="1">
      <alignment horizontal="center" shrinkToFit="0" vertical="center" wrapText="1"/>
    </xf>
    <xf borderId="3" fillId="4" fontId="1" numFmtId="0" xfId="0" applyAlignment="1" applyBorder="1" applyFill="1" applyFont="1">
      <alignment horizontal="center" readingOrder="0" shrinkToFit="0" vertical="center" wrapText="1"/>
    </xf>
    <xf borderId="9" fillId="2" fontId="2" numFmtId="0" xfId="0" applyAlignment="1" applyBorder="1" applyFill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" fillId="3" fontId="1" numFmtId="0" xfId="0" applyAlignment="1" applyBorder="1" applyFill="1" applyFont="1">
      <alignment horizontal="center" shrinkToFit="0" vertical="center" wrapText="1"/>
    </xf>
    <xf borderId="17" fillId="5" fontId="4" numFmtId="0" xfId="0" applyAlignment="1" applyBorder="1" applyFill="1" applyFont="1">
      <alignment horizontal="center" readingOrder="0"/>
    </xf>
    <xf borderId="17" fillId="6" fontId="5" numFmtId="0" xfId="0" applyAlignment="1" applyBorder="1" applyFill="1" applyFont="1">
      <alignment horizontal="center" readingOrder="0"/>
    </xf>
    <xf borderId="17" fillId="7" fontId="6" numFmtId="0" xfId="0" applyAlignment="1" applyBorder="1" applyFill="1" applyFont="1">
      <alignment horizontal="center" readingOrder="0"/>
    </xf>
    <xf borderId="17" fillId="8" fontId="7" numFmtId="0" xfId="0" applyAlignment="1" applyBorder="1" applyFill="1" applyFont="1">
      <alignment horizontal="center" readingOrder="0"/>
    </xf>
    <xf borderId="9" fillId="2" fontId="8" numFmtId="0" xfId="0" applyAlignment="1" applyBorder="1" applyFill="1" applyFont="1">
      <alignment horizontal="left" shrinkToFit="0" vertical="top" wrapText="1"/>
    </xf>
    <xf borderId="17" fillId="6" fontId="5" numFmtId="164" xfId="0" applyAlignment="1" applyBorder="1" applyFill="1" applyFont="1" applyNumberFormat="1">
      <alignment horizontal="center" readingOrder="0"/>
    </xf>
    <xf borderId="18" fillId="2" fontId="1" numFmtId="0" xfId="0" applyBorder="1" applyFill="1" applyFont="1"/>
    <xf borderId="19" fillId="2" fontId="1" numFmtId="0" xfId="0" applyBorder="1" applyFill="1" applyFont="1"/>
    <xf borderId="20" fillId="2" fontId="1" numFmtId="0" xfId="0" applyBorder="1" applyFill="1" applyFont="1"/>
    <xf borderId="0" fillId="0" fontId="1" numFmtId="0" xfId="0" applyFont="1"/>
    <xf borderId="3" fillId="4" fontId="9" numFmtId="0" xfId="0" applyAlignment="1" applyBorder="1" applyFill="1" applyFont="1">
      <alignment horizontal="center" readingOrder="0" shrinkToFit="0" vertical="center" wrapText="1"/>
    </xf>
    <xf borderId="3" fillId="4" fontId="1" numFmtId="1" xfId="0" applyAlignment="1" applyBorder="1" applyFill="1" applyFont="1" applyNumberFormat="1">
      <alignment horizontal="center" readingOrder="0" shrinkToFit="0" vertical="center" wrapText="1"/>
    </xf>
    <xf borderId="3" fillId="4" fontId="1" numFmtId="0" xfId="0" applyAlignment="1" applyBorder="1" applyFill="1" applyFont="1">
      <alignment shrinkToFit="0" vertical="center" wrapText="1"/>
    </xf>
    <xf borderId="3" fillId="4" fontId="5" numFmtId="0" xfId="0" applyAlignment="1" applyBorder="1" applyFill="1" applyFont="1">
      <alignment shrinkToFit="0" wrapText="1"/>
    </xf>
    <xf borderId="21" fillId="4" fontId="5" numFmtId="0" xfId="0" applyAlignment="1" applyBorder="1" applyFill="1" applyFont="1">
      <alignment shrinkToFit="0" wrapText="1"/>
    </xf>
    <xf borderId="1" fillId="2" fontId="1" numFmtId="0" xfId="0" applyAlignment="1" applyBorder="1" applyFill="1" applyFont="1">
      <alignment horizontal="center"/>
    </xf>
    <xf borderId="22" fillId="2" fontId="1" numFmtId="0" xfId="0" applyBorder="1" applyFill="1" applyFont="1"/>
    <xf borderId="22" fillId="2" fontId="1" numFmtId="0" xfId="0" applyAlignment="1" applyBorder="1" applyFill="1" applyFont="1">
      <alignment horizontal="center"/>
    </xf>
    <xf borderId="1" fillId="2" fontId="10" numFmtId="0" xfId="0" applyBorder="1" applyFill="1" applyFont="1"/>
    <xf borderId="23" fillId="2" fontId="1" numFmtId="0" xfId="0" applyBorder="1" applyFill="1" applyFont="1"/>
    <xf borderId="24" fillId="2" fontId="1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vertical="center"/>
    </xf>
    <xf borderId="0" fillId="0" fontId="1" numFmtId="1" xfId="0" applyAlignment="1" applyFont="1" applyNumberFormat="1">
      <alignment horizontal="center" shrinkToFit="0" vertical="center" wrapText="1"/>
    </xf>
    <xf borderId="3" fillId="0" fontId="1" numFmtId="1" xfId="0" applyAlignment="1" applyBorder="1" applyFont="1" applyNumberFormat="1">
      <alignment horizontal="center" shrinkToFit="0" vertical="center" wrapText="1"/>
    </xf>
    <xf borderId="3" fillId="2" fontId="1" numFmtId="0" xfId="0" applyAlignment="1" applyBorder="1" applyFill="1" applyFont="1">
      <alignment horizontal="center" vertical="center"/>
    </xf>
    <xf borderId="25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6" fillId="0" fontId="3" numFmtId="0" xfId="0" applyBorder="1" applyFont="1"/>
    <xf borderId="27" fillId="0" fontId="3" numFmtId="0" xfId="0" applyBorder="1" applyFont="1"/>
    <xf borderId="3" fillId="2" fontId="1" numFmtId="0" xfId="0" applyAlignment="1" applyBorder="1" applyFill="1" applyFont="1">
      <alignment readingOrder="0" vertical="center"/>
    </xf>
    <xf borderId="25" fillId="2" fontId="1" numFmtId="0" xfId="0" applyBorder="1" applyFill="1" applyFont="1"/>
    <xf borderId="14" fillId="2" fontId="1" numFmtId="0" xfId="0" applyAlignment="1" applyBorder="1" applyFill="1" applyFont="1">
      <alignment vertical="center"/>
    </xf>
    <xf borderId="28" fillId="2" fontId="11" numFmtId="0" xfId="0" applyAlignment="1" applyBorder="1" applyFill="1" applyFont="1">
      <alignment horizontal="center"/>
    </xf>
    <xf borderId="29" fillId="2" fontId="1" numFmtId="0" xfId="0" applyAlignment="1" applyBorder="1" applyFill="1" applyFont="1">
      <alignment vertical="center"/>
    </xf>
    <xf borderId="30" fillId="0" fontId="3" numFmtId="0" xfId="0" applyBorder="1" applyFont="1"/>
    <xf borderId="3" fillId="2" fontId="11" numFmtId="0" xfId="0" applyAlignment="1" applyBorder="1" applyFill="1" applyFont="1">
      <alignment horizontal="center"/>
    </xf>
    <xf borderId="31" fillId="2" fontId="12" numFmtId="165" xfId="0" applyAlignment="1" applyBorder="1" applyFill="1" applyFont="1" applyNumberFormat="1">
      <alignment horizontal="center" vertical="center"/>
    </xf>
    <xf borderId="32" fillId="0" fontId="3" numFmtId="0" xfId="0" applyBorder="1" applyFont="1"/>
    <xf borderId="24" fillId="2" fontId="12" numFmtId="9" xfId="0" applyAlignment="1" applyBorder="1" applyFill="1" applyFont="1" applyNumberFormat="1">
      <alignment horizontal="center" vertical="center"/>
    </xf>
    <xf borderId="33" fillId="0" fontId="3" numFmtId="0" xfId="0" applyBorder="1" applyFont="1"/>
    <xf borderId="34" fillId="0" fontId="3" numFmtId="0" xfId="0" applyBorder="1" applyFont="1"/>
    <xf borderId="31" fillId="2" fontId="1" numFmtId="0" xfId="0" applyAlignment="1" applyBorder="1" applyFill="1" applyFont="1">
      <alignment horizontal="center" shrinkToFit="0" vertical="center" wrapText="1"/>
    </xf>
    <xf borderId="35" fillId="0" fontId="3" numFmtId="0" xfId="0" applyBorder="1" applyFont="1"/>
    <xf borderId="29" fillId="2" fontId="1" numFmtId="0" xfId="0" applyBorder="1" applyFill="1" applyFont="1"/>
    <xf borderId="36" fillId="0" fontId="3" numFmtId="0" xfId="0" applyBorder="1" applyFont="1"/>
    <xf borderId="37" fillId="0" fontId="3" numFmtId="0" xfId="0" applyBorder="1" applyFont="1"/>
    <xf borderId="3" fillId="2" fontId="1" numFmtId="0" xfId="0" applyBorder="1" applyFill="1" applyFont="1"/>
    <xf borderId="23" fillId="2" fontId="1" numFmtId="0" xfId="0" applyAlignment="1" applyBorder="1" applyFill="1" applyFont="1">
      <alignment horizontal="center"/>
    </xf>
    <xf borderId="38" fillId="0" fontId="3" numFmtId="0" xfId="0" applyBorder="1" applyFont="1"/>
    <xf borderId="3" fillId="2" fontId="1" numFmtId="0" xfId="0" applyAlignment="1" applyBorder="1" applyFill="1" applyFont="1">
      <alignment horizontal="center"/>
    </xf>
    <xf borderId="1" fillId="2" fontId="13" numFmtId="0" xfId="0" applyBorder="1" applyFill="1" applyFont="1"/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Avance del proceso de ejecución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invertIfNegative val="0"/>
          <c:cat>
            <c:strRef>
              <c:f>Control!$C$6:$C$11</c:f>
            </c:strRef>
          </c:cat>
          <c:val>
            <c:numRef>
              <c:f>Control!$D$6:$D$11</c:f>
              <c:numCache/>
            </c:numRef>
          </c:val>
        </c:ser>
        <c:axId val="824699306"/>
        <c:axId val="835075764"/>
      </c:barChart>
      <c:catAx>
        <c:axId val="82469930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5075764"/>
      </c:catAx>
      <c:valAx>
        <c:axId val="8350757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24699306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casos que ejecuto cada integrante del equipo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F6B26B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D966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76A5AF"/>
              </a:solidFill>
              <a:ln cmpd="sng">
                <a:noFill/>
              </a:ln>
            </c:spPr>
          </c:dPt>
          <c:cat>
            <c:strRef>
              <c:f>Control!$D$18:$D$21</c:f>
            </c:strRef>
          </c:cat>
          <c:val>
            <c:numRef>
              <c:f>Control!$E$18:$E$21</c:f>
              <c:numCache/>
            </c:numRef>
          </c:val>
        </c:ser>
        <c:ser>
          <c:idx val="1"/>
          <c:order val="1"/>
          <c:invertIfNegative val="0"/>
          <c:cat>
            <c:strRef>
              <c:f>Control!$D$18:$D$21</c:f>
            </c:strRef>
          </c:cat>
          <c:val>
            <c:numRef>
              <c:f>Control!$F$18:$F$21</c:f>
              <c:numCache/>
            </c:numRef>
          </c:val>
        </c:ser>
        <c:axId val="1569443115"/>
        <c:axId val="1204363078"/>
      </c:barChart>
      <c:catAx>
        <c:axId val="15694431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04363078"/>
      </c:catAx>
      <c:valAx>
        <c:axId val="12043630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69443115"/>
      </c:valAx>
    </c:plotArea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</xdr:colOff>
      <xdr:row>0</xdr:row>
      <xdr:rowOff>57150</xdr:rowOff>
    </xdr:from>
    <xdr:ext cx="6629400" cy="35718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95250</xdr:colOff>
      <xdr:row>20</xdr:row>
      <xdr:rowOff>95250</xdr:rowOff>
    </xdr:from>
    <xdr:ext cx="6629400" cy="31718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.29"/>
    <col customWidth="1" min="4" max="10" width="9.43"/>
    <col customWidth="1" min="11" max="12" width="3.29"/>
    <col customWidth="1" min="13" max="25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7"/>
      <c r="C3" s="2"/>
      <c r="D3" s="4"/>
      <c r="E3" s="4"/>
      <c r="F3" s="4"/>
      <c r="G3" s="4"/>
      <c r="H3" s="4"/>
      <c r="I3" s="4"/>
      <c r="J3" s="4"/>
      <c r="K3" s="5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7"/>
      <c r="C4" s="7"/>
      <c r="D4" s="1"/>
      <c r="E4" s="1"/>
      <c r="F4" s="1"/>
      <c r="G4" s="1"/>
      <c r="H4" s="1"/>
      <c r="I4" s="1"/>
      <c r="J4" s="1"/>
      <c r="K4" s="8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7"/>
      <c r="C5" s="7"/>
      <c r="D5" s="1"/>
      <c r="E5" s="1"/>
      <c r="F5" s="1"/>
      <c r="G5" s="1"/>
      <c r="H5" s="1"/>
      <c r="I5" s="1"/>
      <c r="J5" s="1"/>
      <c r="K5" s="8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7"/>
      <c r="C6" s="7"/>
      <c r="D6" s="1"/>
      <c r="E6" s="14" t="s">
        <v>16</v>
      </c>
      <c r="F6" s="15"/>
      <c r="G6" s="15"/>
      <c r="H6" s="15"/>
      <c r="I6" s="16"/>
      <c r="J6" s="1"/>
      <c r="K6" s="8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7"/>
      <c r="C7" s="7"/>
      <c r="D7" s="1"/>
      <c r="E7" s="17"/>
      <c r="I7" s="18"/>
      <c r="J7" s="1"/>
      <c r="K7" s="8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7"/>
      <c r="C8" s="7"/>
      <c r="D8" s="1"/>
      <c r="E8" s="17"/>
      <c r="I8" s="18"/>
      <c r="J8" s="1"/>
      <c r="K8" s="8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7"/>
      <c r="C9" s="7"/>
      <c r="D9" s="1"/>
      <c r="E9" s="17"/>
      <c r="I9" s="18"/>
      <c r="J9" s="1"/>
      <c r="K9" s="8"/>
      <c r="L9" s="8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7"/>
      <c r="C10" s="7"/>
      <c r="D10" s="1"/>
      <c r="E10" s="19"/>
      <c r="F10" s="20"/>
      <c r="G10" s="20"/>
      <c r="H10" s="20"/>
      <c r="I10" s="21"/>
      <c r="J10" s="1"/>
      <c r="K10" s="8"/>
      <c r="L10" s="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7"/>
      <c r="C11" s="7"/>
      <c r="D11" s="1"/>
      <c r="E11" s="1"/>
      <c r="F11" s="1"/>
      <c r="G11" s="1"/>
      <c r="H11" s="1"/>
      <c r="I11" s="1"/>
      <c r="J11" s="1"/>
      <c r="K11" s="8"/>
      <c r="L11" s="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7"/>
      <c r="C12" s="7"/>
      <c r="D12" s="1"/>
      <c r="E12" s="1"/>
      <c r="F12" s="1"/>
      <c r="G12" s="1"/>
      <c r="H12" s="1"/>
      <c r="I12" s="1"/>
      <c r="J12" s="1"/>
      <c r="K12" s="8"/>
      <c r="L12" s="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7"/>
      <c r="C13" s="7"/>
      <c r="D13" s="1"/>
      <c r="E13" s="1"/>
      <c r="F13" s="1"/>
      <c r="G13" s="1"/>
      <c r="H13" s="1"/>
      <c r="I13" s="1"/>
      <c r="J13" s="1"/>
      <c r="K13" s="8"/>
      <c r="L13" s="8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7"/>
      <c r="C14" s="7"/>
      <c r="D14" s="1"/>
      <c r="E14" s="1"/>
      <c r="F14" s="1"/>
      <c r="G14" s="1"/>
      <c r="H14" s="1"/>
      <c r="I14" s="1"/>
      <c r="J14" s="1"/>
      <c r="K14" s="8"/>
      <c r="L14" s="8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7"/>
      <c r="C15" s="7"/>
      <c r="D15" s="1"/>
      <c r="E15" s="1"/>
      <c r="F15" s="1"/>
      <c r="G15" s="1"/>
      <c r="H15" s="1"/>
      <c r="I15" s="1"/>
      <c r="J15" s="1"/>
      <c r="K15" s="8"/>
      <c r="L15" s="8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7"/>
      <c r="C16" s="7"/>
      <c r="D16" s="1"/>
      <c r="E16" s="1"/>
      <c r="F16" s="1"/>
      <c r="G16" s="1"/>
      <c r="H16" s="1"/>
      <c r="I16" s="1"/>
      <c r="J16" s="1"/>
      <c r="K16" s="8"/>
      <c r="L16" s="8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7"/>
      <c r="C17" s="7"/>
      <c r="D17" s="1"/>
      <c r="E17" s="1"/>
      <c r="F17" s="1"/>
      <c r="G17" s="1"/>
      <c r="H17" s="1"/>
      <c r="I17" s="1"/>
      <c r="J17" s="1"/>
      <c r="K17" s="8"/>
      <c r="L17" s="8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7"/>
      <c r="C18" s="7"/>
      <c r="D18" s="1"/>
      <c r="E18" s="1"/>
      <c r="F18" s="1"/>
      <c r="G18" s="1"/>
      <c r="H18" s="1"/>
      <c r="I18" s="1"/>
      <c r="J18" s="1"/>
      <c r="K18" s="8"/>
      <c r="L18" s="8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7"/>
      <c r="C19" s="7"/>
      <c r="D19" s="1"/>
      <c r="E19" s="1"/>
      <c r="F19" s="1"/>
      <c r="G19" s="1"/>
      <c r="H19" s="1"/>
      <c r="I19" s="1"/>
      <c r="J19" s="1"/>
      <c r="K19" s="8"/>
      <c r="L19" s="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7"/>
      <c r="C20" s="7"/>
      <c r="D20" s="1"/>
      <c r="E20" s="1"/>
      <c r="F20" s="1"/>
      <c r="G20" s="1"/>
      <c r="H20" s="1"/>
      <c r="I20" s="1"/>
      <c r="J20" s="1"/>
      <c r="K20" s="8"/>
      <c r="L20" s="8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7"/>
      <c r="C21" s="7"/>
      <c r="D21" s="1"/>
      <c r="E21" s="1"/>
      <c r="F21" s="1"/>
      <c r="G21" s="1"/>
      <c r="H21" s="1"/>
      <c r="I21" s="1"/>
      <c r="J21" s="1"/>
      <c r="K21" s="8"/>
      <c r="L21" s="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7"/>
      <c r="C22" s="7"/>
      <c r="D22" s="1"/>
      <c r="E22" s="1"/>
      <c r="F22" s="1"/>
      <c r="G22" s="1"/>
      <c r="H22" s="1"/>
      <c r="I22" s="1"/>
      <c r="J22" s="1"/>
      <c r="K22" s="8"/>
      <c r="L22" s="8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7"/>
      <c r="C23" s="7"/>
      <c r="D23" s="1"/>
      <c r="E23" s="1"/>
      <c r="F23" s="1"/>
      <c r="G23" s="1"/>
      <c r="H23" s="1"/>
      <c r="I23" s="1"/>
      <c r="J23" s="1"/>
      <c r="K23" s="8"/>
      <c r="L23" s="8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7"/>
      <c r="C24" s="7"/>
      <c r="D24" s="1"/>
      <c r="E24" s="1"/>
      <c r="F24" s="1"/>
      <c r="G24" s="1"/>
      <c r="H24" s="1"/>
      <c r="I24" s="1"/>
      <c r="J24" s="1"/>
      <c r="K24" s="8"/>
      <c r="L24" s="8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7"/>
      <c r="C25" s="7"/>
      <c r="D25" s="1"/>
      <c r="E25" s="1"/>
      <c r="F25" s="1"/>
      <c r="G25" s="1"/>
      <c r="H25" s="1"/>
      <c r="I25" s="1"/>
      <c r="J25" s="1"/>
      <c r="K25" s="8"/>
      <c r="L25" s="8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7"/>
      <c r="C26" s="7"/>
      <c r="D26" s="1"/>
      <c r="E26" s="1"/>
      <c r="F26" s="1"/>
      <c r="G26" s="1"/>
      <c r="H26" s="1"/>
      <c r="I26" s="1"/>
      <c r="J26" s="1"/>
      <c r="K26" s="8"/>
      <c r="L26" s="8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7"/>
      <c r="C27" s="7"/>
      <c r="D27" s="1"/>
      <c r="E27" s="1"/>
      <c r="F27" s="1"/>
      <c r="G27" s="1"/>
      <c r="H27" s="1"/>
      <c r="I27" s="1"/>
      <c r="J27" s="1"/>
      <c r="K27" s="8"/>
      <c r="L27" s="8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7"/>
      <c r="C28" s="7"/>
      <c r="D28" s="1"/>
      <c r="E28" s="1"/>
      <c r="F28" s="1"/>
      <c r="G28" s="1"/>
      <c r="H28" s="1"/>
      <c r="I28" s="1"/>
      <c r="J28" s="1"/>
      <c r="K28" s="8"/>
      <c r="L28" s="8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7"/>
      <c r="C29" s="7"/>
      <c r="D29" s="1"/>
      <c r="E29" s="1"/>
      <c r="F29" s="1"/>
      <c r="G29" s="1"/>
      <c r="H29" s="1"/>
      <c r="I29" s="1"/>
      <c r="J29" s="1"/>
      <c r="K29" s="8"/>
      <c r="L29" s="8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7"/>
      <c r="C30" s="7"/>
      <c r="D30" s="1"/>
      <c r="E30" s="1"/>
      <c r="F30" s="1"/>
      <c r="G30" s="1"/>
      <c r="H30" s="1"/>
      <c r="I30" s="1"/>
      <c r="J30" s="1"/>
      <c r="K30" s="8"/>
      <c r="L30" s="8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7"/>
      <c r="C31" s="7"/>
      <c r="D31" s="1"/>
      <c r="E31" s="1"/>
      <c r="F31" s="1"/>
      <c r="G31" s="1"/>
      <c r="H31" s="1"/>
      <c r="I31" s="1"/>
      <c r="J31" s="1"/>
      <c r="K31" s="8"/>
      <c r="L31" s="8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7"/>
      <c r="C32" s="7"/>
      <c r="D32" s="1"/>
      <c r="E32" s="1"/>
      <c r="F32" s="1"/>
      <c r="G32" s="1"/>
      <c r="H32" s="1"/>
      <c r="I32" s="1"/>
      <c r="J32" s="1"/>
      <c r="K32" s="8"/>
      <c r="L32" s="8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7"/>
      <c r="C33" s="7"/>
      <c r="D33" s="1"/>
      <c r="E33" s="1"/>
      <c r="F33" s="1"/>
      <c r="G33" s="1"/>
      <c r="H33" s="1"/>
      <c r="I33" s="1"/>
      <c r="J33" s="1"/>
      <c r="K33" s="8"/>
      <c r="L33" s="8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7"/>
      <c r="C34" s="7"/>
      <c r="D34" s="1"/>
      <c r="E34" s="1"/>
      <c r="F34" s="1"/>
      <c r="G34" s="1"/>
      <c r="H34" s="1"/>
      <c r="I34" s="1"/>
      <c r="J34" s="1"/>
      <c r="K34" s="8"/>
      <c r="L34" s="8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7"/>
      <c r="C35" s="7"/>
      <c r="D35" s="1"/>
      <c r="E35" s="27" t="s">
        <v>70</v>
      </c>
      <c r="F35" s="15"/>
      <c r="G35" s="15"/>
      <c r="H35" s="15"/>
      <c r="I35" s="16"/>
      <c r="J35" s="1"/>
      <c r="K35" s="8"/>
      <c r="L35" s="8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7"/>
      <c r="C36" s="7"/>
      <c r="D36" s="1"/>
      <c r="E36" s="17"/>
      <c r="I36" s="18"/>
      <c r="J36" s="1"/>
      <c r="K36" s="8"/>
      <c r="L36" s="8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7"/>
      <c r="C37" s="7"/>
      <c r="D37" s="1"/>
      <c r="E37" s="17"/>
      <c r="I37" s="18"/>
      <c r="J37" s="1"/>
      <c r="K37" s="8"/>
      <c r="L37" s="8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7"/>
      <c r="C38" s="7"/>
      <c r="D38" s="1"/>
      <c r="E38" s="17"/>
      <c r="I38" s="18"/>
      <c r="J38" s="1"/>
      <c r="K38" s="8"/>
      <c r="L38" s="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7"/>
      <c r="C39" s="7"/>
      <c r="D39" s="1"/>
      <c r="E39" s="19"/>
      <c r="F39" s="20"/>
      <c r="G39" s="20"/>
      <c r="H39" s="20"/>
      <c r="I39" s="21"/>
      <c r="J39" s="1"/>
      <c r="K39" s="8"/>
      <c r="L39" s="8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7"/>
      <c r="C40" s="7"/>
      <c r="D40" s="1"/>
      <c r="E40" s="1"/>
      <c r="F40" s="1"/>
      <c r="G40" s="1"/>
      <c r="H40" s="1"/>
      <c r="I40" s="1"/>
      <c r="J40" s="1"/>
      <c r="K40" s="8"/>
      <c r="L40" s="8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7"/>
      <c r="C41" s="7"/>
      <c r="D41" s="1"/>
      <c r="E41" s="1"/>
      <c r="F41" s="1"/>
      <c r="G41" s="1"/>
      <c r="H41" s="1"/>
      <c r="I41" s="1"/>
      <c r="J41" s="1"/>
      <c r="K41" s="8"/>
      <c r="L41" s="8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7"/>
      <c r="C42" s="7"/>
      <c r="D42" s="1"/>
      <c r="E42" s="1"/>
      <c r="F42" s="1"/>
      <c r="G42" s="1"/>
      <c r="H42" s="1"/>
      <c r="I42" s="1"/>
      <c r="J42" s="1"/>
      <c r="K42" s="8"/>
      <c r="L42" s="8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7"/>
      <c r="C43" s="29"/>
      <c r="D43" s="30"/>
      <c r="E43" s="30"/>
      <c r="F43" s="30"/>
      <c r="G43" s="30"/>
      <c r="H43" s="30"/>
      <c r="I43" s="30"/>
      <c r="J43" s="30"/>
      <c r="K43" s="31"/>
      <c r="L43" s="8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29"/>
      <c r="C44" s="30"/>
      <c r="D44" s="30"/>
      <c r="E44" s="30"/>
      <c r="F44" s="30"/>
      <c r="G44" s="30"/>
      <c r="H44" s="30"/>
      <c r="I44" s="30"/>
      <c r="J44" s="30"/>
      <c r="K44" s="30"/>
      <c r="L44" s="3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6:I10"/>
    <mergeCell ref="E35:I3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hidden="1" min="1" max="4" width="14.43"/>
    <col customWidth="1" hidden="1" min="5" max="5" width="5.57"/>
    <col customWidth="1" hidden="1" min="6" max="6" width="4.0"/>
    <col customWidth="1" min="7" max="7" width="9.86"/>
    <col customWidth="1" min="8" max="8" width="35.43"/>
    <col customWidth="1" min="9" max="9" width="18.0"/>
    <col customWidth="1" min="10" max="10" width="27.86"/>
    <col customWidth="1" min="11" max="11" width="22.43"/>
    <col customWidth="1" min="12" max="12" width="31.43"/>
    <col customWidth="1" min="13" max="13" width="35.0"/>
    <col customWidth="1" min="14" max="14" width="15.57"/>
    <col customWidth="1" min="15" max="15" width="33.57"/>
    <col customWidth="1" min="16" max="16" width="19.14"/>
    <col customWidth="1" min="17" max="17" width="19.0"/>
    <col customWidth="1" min="18" max="18" width="22.71"/>
    <col customWidth="1" min="19" max="19" width="20.57"/>
  </cols>
  <sheetData>
    <row r="1" ht="14.25" customHeight="1">
      <c r="E1" s="3" t="s">
        <v>0</v>
      </c>
      <c r="F1" s="3"/>
      <c r="G1" s="3" t="s">
        <v>1</v>
      </c>
      <c r="H1" s="3" t="s">
        <v>2</v>
      </c>
      <c r="I1" s="3" t="s">
        <v>3</v>
      </c>
      <c r="J1" s="3" t="s">
        <v>4</v>
      </c>
      <c r="K1" s="6" t="s">
        <v>5</v>
      </c>
      <c r="L1" s="3" t="s">
        <v>6</v>
      </c>
      <c r="M1" s="3" t="s">
        <v>7</v>
      </c>
      <c r="N1" s="3" t="s">
        <v>8</v>
      </c>
      <c r="O1" s="6" t="s">
        <v>9</v>
      </c>
      <c r="P1" s="6" t="s">
        <v>10</v>
      </c>
      <c r="Q1" s="3" t="s">
        <v>11</v>
      </c>
      <c r="R1" s="6" t="s">
        <v>12</v>
      </c>
      <c r="S1" s="9" t="s">
        <v>13</v>
      </c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E2" s="11" t="s">
        <v>14</v>
      </c>
      <c r="F2" s="11">
        <v>10.0</v>
      </c>
      <c r="G2" s="12" t="s">
        <v>15</v>
      </c>
      <c r="H2" s="13" t="s">
        <v>17</v>
      </c>
      <c r="I2" s="13" t="s">
        <v>18</v>
      </c>
      <c r="J2" s="13" t="s">
        <v>19</v>
      </c>
      <c r="K2" s="13" t="s">
        <v>20</v>
      </c>
      <c r="L2" s="13" t="s">
        <v>21</v>
      </c>
      <c r="M2" s="13" t="s">
        <v>22</v>
      </c>
      <c r="N2" s="13" t="s">
        <v>23</v>
      </c>
      <c r="O2" s="13" t="s">
        <v>24</v>
      </c>
      <c r="P2" s="13" t="s">
        <v>25</v>
      </c>
      <c r="Q2" s="12" t="s">
        <v>26</v>
      </c>
      <c r="R2" s="12" t="s">
        <v>27</v>
      </c>
      <c r="S2" s="12" t="s">
        <v>28</v>
      </c>
      <c r="T2" s="10"/>
      <c r="U2" s="22"/>
      <c r="V2" s="22"/>
      <c r="W2" s="22"/>
      <c r="X2" s="22"/>
      <c r="Y2" s="22"/>
      <c r="Z2" s="22"/>
      <c r="AA2" s="22"/>
      <c r="AB2" s="22"/>
      <c r="AC2" s="22"/>
    </row>
    <row r="3">
      <c r="E3" s="11" t="s">
        <v>14</v>
      </c>
      <c r="F3" s="11">
        <v>20.0</v>
      </c>
      <c r="G3" s="12" t="s">
        <v>29</v>
      </c>
      <c r="H3" s="13" t="s">
        <v>30</v>
      </c>
      <c r="I3" s="13" t="s">
        <v>18</v>
      </c>
      <c r="J3" s="13" t="s">
        <v>31</v>
      </c>
      <c r="K3" s="13" t="s">
        <v>20</v>
      </c>
      <c r="L3" s="13" t="s">
        <v>21</v>
      </c>
      <c r="M3" s="13" t="s">
        <v>32</v>
      </c>
      <c r="N3" s="13" t="s">
        <v>23</v>
      </c>
      <c r="O3" s="13" t="s">
        <v>33</v>
      </c>
      <c r="P3" s="13" t="s">
        <v>25</v>
      </c>
      <c r="Q3" s="12" t="s">
        <v>26</v>
      </c>
      <c r="R3" s="12" t="s">
        <v>27</v>
      </c>
      <c r="S3" s="12" t="s">
        <v>28</v>
      </c>
      <c r="T3" s="10"/>
      <c r="U3" s="22"/>
      <c r="V3" s="22"/>
      <c r="W3" s="22"/>
      <c r="X3" s="22"/>
      <c r="Y3" s="22"/>
      <c r="Z3" s="22"/>
      <c r="AA3" s="22"/>
      <c r="AB3" s="22"/>
      <c r="AC3" s="22"/>
    </row>
    <row r="4">
      <c r="E4" s="11" t="s">
        <v>14</v>
      </c>
      <c r="F4" s="11">
        <v>30.0</v>
      </c>
      <c r="G4" s="12" t="s">
        <v>34</v>
      </c>
      <c r="H4" s="13" t="s">
        <v>35</v>
      </c>
      <c r="I4" s="13" t="s">
        <v>18</v>
      </c>
      <c r="J4" s="13" t="s">
        <v>36</v>
      </c>
      <c r="K4" s="13" t="s">
        <v>20</v>
      </c>
      <c r="L4" s="13" t="s">
        <v>21</v>
      </c>
      <c r="M4" s="13" t="s">
        <v>37</v>
      </c>
      <c r="N4" s="13" t="s">
        <v>23</v>
      </c>
      <c r="O4" s="13" t="s">
        <v>38</v>
      </c>
      <c r="P4" s="13" t="s">
        <v>25</v>
      </c>
      <c r="Q4" s="12" t="s">
        <v>26</v>
      </c>
      <c r="R4" s="12" t="s">
        <v>27</v>
      </c>
      <c r="S4" s="12" t="s">
        <v>28</v>
      </c>
      <c r="T4" s="10"/>
      <c r="U4" s="22"/>
      <c r="V4" s="22"/>
      <c r="W4" s="22"/>
      <c r="X4" s="22"/>
      <c r="Y4" s="22"/>
      <c r="Z4" s="22"/>
      <c r="AA4" s="22"/>
      <c r="AB4" s="22"/>
      <c r="AC4" s="22"/>
    </row>
    <row r="5">
      <c r="E5" s="11" t="s">
        <v>14</v>
      </c>
      <c r="F5" s="11">
        <v>40.0</v>
      </c>
      <c r="G5" s="12" t="s">
        <v>40</v>
      </c>
      <c r="H5" s="13" t="s">
        <v>41</v>
      </c>
      <c r="I5" s="13" t="s">
        <v>42</v>
      </c>
      <c r="J5" s="13" t="s">
        <v>44</v>
      </c>
      <c r="K5" s="13" t="s">
        <v>46</v>
      </c>
      <c r="L5" s="13" t="s">
        <v>21</v>
      </c>
      <c r="M5" s="13" t="s">
        <v>48</v>
      </c>
      <c r="N5" s="13" t="s">
        <v>23</v>
      </c>
      <c r="O5" s="13" t="s">
        <v>51</v>
      </c>
      <c r="P5" s="13" t="s">
        <v>25</v>
      </c>
      <c r="Q5" s="12" t="s">
        <v>26</v>
      </c>
      <c r="R5" s="12" t="s">
        <v>57</v>
      </c>
      <c r="S5" s="12" t="s">
        <v>28</v>
      </c>
      <c r="T5" s="10"/>
      <c r="U5" s="22"/>
      <c r="V5" s="22"/>
      <c r="W5" s="22"/>
      <c r="X5" s="22"/>
      <c r="Y5" s="22"/>
      <c r="Z5" s="22"/>
      <c r="AA5" s="22"/>
      <c r="AB5" s="22"/>
      <c r="AC5" s="22"/>
    </row>
    <row r="6">
      <c r="E6" s="11" t="s">
        <v>14</v>
      </c>
      <c r="F6" s="11">
        <v>50.0</v>
      </c>
      <c r="G6" s="12" t="s">
        <v>60</v>
      </c>
      <c r="H6" s="13" t="s">
        <v>61</v>
      </c>
      <c r="I6" s="13" t="s">
        <v>42</v>
      </c>
      <c r="J6" s="13" t="s">
        <v>63</v>
      </c>
      <c r="K6" s="13" t="s">
        <v>46</v>
      </c>
      <c r="L6" s="13" t="s">
        <v>21</v>
      </c>
      <c r="M6" s="13" t="s">
        <v>64</v>
      </c>
      <c r="N6" s="13" t="s">
        <v>23</v>
      </c>
      <c r="O6" s="13" t="s">
        <v>65</v>
      </c>
      <c r="P6" s="13" t="s">
        <v>25</v>
      </c>
      <c r="Q6" s="12" t="s">
        <v>26</v>
      </c>
      <c r="R6" s="12" t="s">
        <v>57</v>
      </c>
      <c r="S6" s="12" t="s">
        <v>28</v>
      </c>
      <c r="T6" s="10"/>
      <c r="U6" s="22"/>
      <c r="V6" s="22"/>
      <c r="W6" s="22"/>
      <c r="X6" s="22"/>
      <c r="Y6" s="22"/>
      <c r="Z6" s="22"/>
      <c r="AA6" s="22"/>
      <c r="AB6" s="22"/>
      <c r="AC6" s="22"/>
    </row>
    <row r="7">
      <c r="E7" s="11" t="s">
        <v>14</v>
      </c>
      <c r="F7" s="11">
        <v>60.0</v>
      </c>
      <c r="G7" s="12" t="s">
        <v>68</v>
      </c>
      <c r="H7" s="13" t="s">
        <v>69</v>
      </c>
      <c r="I7" s="13" t="s">
        <v>18</v>
      </c>
      <c r="J7" s="13" t="s">
        <v>72</v>
      </c>
      <c r="K7" s="13" t="s">
        <v>73</v>
      </c>
      <c r="L7" s="13" t="s">
        <v>21</v>
      </c>
      <c r="M7" s="13" t="s">
        <v>74</v>
      </c>
      <c r="N7" s="13" t="s">
        <v>75</v>
      </c>
      <c r="O7" s="13" t="s">
        <v>76</v>
      </c>
      <c r="P7" s="13" t="s">
        <v>25</v>
      </c>
      <c r="Q7" s="12" t="s">
        <v>26</v>
      </c>
      <c r="R7" s="12" t="s">
        <v>27</v>
      </c>
      <c r="S7" s="12" t="s">
        <v>28</v>
      </c>
      <c r="T7" s="10"/>
      <c r="U7" s="22"/>
      <c r="V7" s="22"/>
      <c r="W7" s="22"/>
      <c r="X7" s="22"/>
      <c r="Y7" s="22"/>
      <c r="Z7" s="22"/>
      <c r="AA7" s="22"/>
      <c r="AB7" s="22"/>
      <c r="AC7" s="22"/>
    </row>
    <row r="8">
      <c r="E8" s="11" t="s">
        <v>14</v>
      </c>
      <c r="F8" s="11">
        <v>70.0</v>
      </c>
      <c r="G8" s="12" t="s">
        <v>78</v>
      </c>
      <c r="H8" s="13" t="s">
        <v>79</v>
      </c>
      <c r="I8" s="13" t="s">
        <v>18</v>
      </c>
      <c r="J8" s="13" t="s">
        <v>80</v>
      </c>
      <c r="K8" s="13" t="s">
        <v>73</v>
      </c>
      <c r="L8" s="13" t="s">
        <v>21</v>
      </c>
      <c r="M8" s="13" t="s">
        <v>81</v>
      </c>
      <c r="N8" s="13" t="s">
        <v>75</v>
      </c>
      <c r="O8" s="13" t="s">
        <v>82</v>
      </c>
      <c r="P8" s="13" t="s">
        <v>25</v>
      </c>
      <c r="Q8" s="12" t="s">
        <v>26</v>
      </c>
      <c r="R8" s="12" t="s">
        <v>27</v>
      </c>
      <c r="S8" s="12" t="s">
        <v>28</v>
      </c>
      <c r="T8" s="10"/>
      <c r="U8" s="22"/>
      <c r="V8" s="22"/>
      <c r="W8" s="22"/>
      <c r="X8" s="22"/>
      <c r="Y8" s="22"/>
      <c r="Z8" s="22"/>
      <c r="AA8" s="22"/>
      <c r="AB8" s="22"/>
      <c r="AC8" s="22"/>
    </row>
    <row r="9">
      <c r="E9" s="11" t="s">
        <v>14</v>
      </c>
      <c r="F9" s="11">
        <v>80.0</v>
      </c>
      <c r="G9" s="12" t="s">
        <v>83</v>
      </c>
      <c r="H9" s="13" t="s">
        <v>84</v>
      </c>
      <c r="I9" s="13" t="s">
        <v>18</v>
      </c>
      <c r="J9" s="13" t="s">
        <v>85</v>
      </c>
      <c r="K9" s="13" t="s">
        <v>86</v>
      </c>
      <c r="L9" s="13" t="s">
        <v>21</v>
      </c>
      <c r="M9" s="13" t="s">
        <v>87</v>
      </c>
      <c r="N9" s="13" t="s">
        <v>75</v>
      </c>
      <c r="O9" s="13" t="s">
        <v>88</v>
      </c>
      <c r="P9" s="13" t="s">
        <v>25</v>
      </c>
      <c r="Q9" s="12" t="s">
        <v>26</v>
      </c>
      <c r="R9" s="12" t="s">
        <v>27</v>
      </c>
      <c r="S9" s="12" t="s">
        <v>28</v>
      </c>
      <c r="T9" s="10"/>
      <c r="U9" s="22"/>
      <c r="V9" s="22"/>
      <c r="W9" s="22"/>
      <c r="X9" s="22"/>
      <c r="Y9" s="22"/>
      <c r="Z9" s="22"/>
      <c r="AA9" s="22"/>
      <c r="AB9" s="22"/>
      <c r="AC9" s="22"/>
    </row>
    <row r="10">
      <c r="E10" s="11" t="s">
        <v>14</v>
      </c>
      <c r="F10" s="11">
        <v>90.0</v>
      </c>
      <c r="G10" s="12" t="s">
        <v>89</v>
      </c>
      <c r="H10" s="13" t="s">
        <v>90</v>
      </c>
      <c r="I10" s="13" t="s">
        <v>42</v>
      </c>
      <c r="J10" s="13" t="s">
        <v>91</v>
      </c>
      <c r="K10" s="13" t="s">
        <v>92</v>
      </c>
      <c r="L10" s="13" t="s">
        <v>21</v>
      </c>
      <c r="M10" s="13" t="s">
        <v>64</v>
      </c>
      <c r="N10" s="13" t="s">
        <v>75</v>
      </c>
      <c r="O10" s="13" t="s">
        <v>93</v>
      </c>
      <c r="P10" s="13" t="s">
        <v>25</v>
      </c>
      <c r="Q10" s="12" t="s">
        <v>26</v>
      </c>
      <c r="R10" s="12" t="s">
        <v>57</v>
      </c>
      <c r="S10" s="12" t="s">
        <v>28</v>
      </c>
      <c r="T10" s="10"/>
      <c r="U10" s="22"/>
      <c r="V10" s="22"/>
      <c r="W10" s="22"/>
      <c r="X10" s="22"/>
      <c r="Y10" s="22"/>
      <c r="Z10" s="22"/>
      <c r="AA10" s="22"/>
      <c r="AB10" s="22"/>
      <c r="AC10" s="22"/>
    </row>
    <row r="11">
      <c r="E11" s="11" t="s">
        <v>14</v>
      </c>
      <c r="F11" s="11">
        <v>100.0</v>
      </c>
      <c r="G11" s="12" t="s">
        <v>94</v>
      </c>
      <c r="H11" s="13" t="s">
        <v>95</v>
      </c>
      <c r="I11" s="13" t="s">
        <v>18</v>
      </c>
      <c r="J11" s="13" t="s">
        <v>96</v>
      </c>
      <c r="K11" s="13" t="s">
        <v>97</v>
      </c>
      <c r="L11" s="13" t="s">
        <v>21</v>
      </c>
      <c r="M11" s="13" t="s">
        <v>98</v>
      </c>
      <c r="N11" s="13" t="s">
        <v>75</v>
      </c>
      <c r="O11" s="13" t="s">
        <v>99</v>
      </c>
      <c r="P11" s="13" t="s">
        <v>25</v>
      </c>
      <c r="Q11" s="12" t="s">
        <v>26</v>
      </c>
      <c r="R11" s="12" t="s">
        <v>27</v>
      </c>
      <c r="S11" s="12" t="s">
        <v>28</v>
      </c>
      <c r="T11" s="10"/>
      <c r="U11" s="22"/>
      <c r="V11" s="22"/>
      <c r="W11" s="22"/>
      <c r="X11" s="22"/>
      <c r="Y11" s="22"/>
      <c r="Z11" s="22"/>
      <c r="AA11" s="22"/>
      <c r="AB11" s="22"/>
      <c r="AC11" s="22"/>
    </row>
    <row r="12">
      <c r="E12" s="11" t="s">
        <v>14</v>
      </c>
      <c r="F12" s="11">
        <v>110.0</v>
      </c>
      <c r="G12" s="12" t="s">
        <v>100</v>
      </c>
      <c r="H12" s="13" t="s">
        <v>101</v>
      </c>
      <c r="I12" s="13" t="s">
        <v>18</v>
      </c>
      <c r="J12" s="13" t="s">
        <v>102</v>
      </c>
      <c r="K12" s="13" t="s">
        <v>103</v>
      </c>
      <c r="L12" s="13" t="s">
        <v>21</v>
      </c>
      <c r="M12" s="13" t="s">
        <v>104</v>
      </c>
      <c r="N12" s="13" t="s">
        <v>105</v>
      </c>
      <c r="O12" s="13" t="s">
        <v>106</v>
      </c>
      <c r="P12" s="13" t="s">
        <v>25</v>
      </c>
      <c r="Q12" s="12" t="s">
        <v>26</v>
      </c>
      <c r="R12" s="12" t="s">
        <v>27</v>
      </c>
      <c r="S12" s="12" t="s">
        <v>28</v>
      </c>
      <c r="T12" s="10"/>
      <c r="U12" s="22"/>
      <c r="V12" s="22"/>
      <c r="W12" s="22"/>
      <c r="X12" s="22"/>
      <c r="Y12" s="22"/>
      <c r="Z12" s="22"/>
      <c r="AA12" s="22"/>
      <c r="AB12" s="22"/>
      <c r="AC12" s="22"/>
    </row>
    <row r="13">
      <c r="E13" s="11" t="s">
        <v>14</v>
      </c>
      <c r="F13" s="11">
        <v>120.0</v>
      </c>
      <c r="G13" s="12" t="s">
        <v>107</v>
      </c>
      <c r="H13" s="13" t="s">
        <v>108</v>
      </c>
      <c r="I13" s="13" t="s">
        <v>18</v>
      </c>
      <c r="J13" s="13" t="s">
        <v>109</v>
      </c>
      <c r="K13" s="13" t="s">
        <v>110</v>
      </c>
      <c r="L13" s="13" t="s">
        <v>21</v>
      </c>
      <c r="M13" s="13" t="s">
        <v>111</v>
      </c>
      <c r="N13" s="13" t="s">
        <v>105</v>
      </c>
      <c r="O13" s="13" t="s">
        <v>112</v>
      </c>
      <c r="P13" s="13" t="s">
        <v>25</v>
      </c>
      <c r="Q13" s="12" t="s">
        <v>26</v>
      </c>
      <c r="R13" s="12" t="s">
        <v>27</v>
      </c>
      <c r="S13" s="12" t="s">
        <v>28</v>
      </c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E14" s="11" t="s">
        <v>14</v>
      </c>
      <c r="F14" s="11">
        <v>130.0</v>
      </c>
      <c r="G14" s="12" t="s">
        <v>113</v>
      </c>
      <c r="H14" s="13" t="s">
        <v>114</v>
      </c>
      <c r="I14" s="13" t="s">
        <v>18</v>
      </c>
      <c r="J14" s="13" t="s">
        <v>115</v>
      </c>
      <c r="K14" s="13" t="s">
        <v>116</v>
      </c>
      <c r="L14" s="13" t="s">
        <v>21</v>
      </c>
      <c r="M14" s="13" t="s">
        <v>117</v>
      </c>
      <c r="N14" s="13" t="s">
        <v>105</v>
      </c>
      <c r="O14" s="13" t="s">
        <v>118</v>
      </c>
      <c r="P14" s="13" t="s">
        <v>25</v>
      </c>
      <c r="Q14" s="12" t="s">
        <v>26</v>
      </c>
      <c r="R14" s="12" t="s">
        <v>27</v>
      </c>
      <c r="S14" s="12" t="s">
        <v>28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E15" s="11" t="s">
        <v>14</v>
      </c>
      <c r="F15" s="11">
        <v>140.0</v>
      </c>
      <c r="G15" s="12" t="s">
        <v>119</v>
      </c>
      <c r="H15" s="13" t="s">
        <v>120</v>
      </c>
      <c r="I15" s="13" t="s">
        <v>18</v>
      </c>
      <c r="J15" s="13" t="s">
        <v>121</v>
      </c>
      <c r="K15" s="13" t="s">
        <v>122</v>
      </c>
      <c r="L15" s="13" t="s">
        <v>21</v>
      </c>
      <c r="M15" s="13" t="s">
        <v>123</v>
      </c>
      <c r="N15" s="13" t="s">
        <v>105</v>
      </c>
      <c r="O15" s="13" t="s">
        <v>124</v>
      </c>
      <c r="P15" s="13" t="s">
        <v>25</v>
      </c>
      <c r="Q15" s="12" t="s">
        <v>26</v>
      </c>
      <c r="R15" s="12" t="s">
        <v>27</v>
      </c>
      <c r="S15" s="12" t="s">
        <v>28</v>
      </c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E16" s="11" t="s">
        <v>14</v>
      </c>
      <c r="F16" s="11">
        <v>160.0</v>
      </c>
      <c r="G16" s="13" t="s">
        <v>125</v>
      </c>
      <c r="H16" s="13" t="s">
        <v>126</v>
      </c>
      <c r="I16" s="13" t="s">
        <v>18</v>
      </c>
      <c r="J16" s="13" t="s">
        <v>127</v>
      </c>
      <c r="K16" s="13" t="s">
        <v>128</v>
      </c>
      <c r="L16" s="13" t="s">
        <v>21</v>
      </c>
      <c r="M16" s="13" t="s">
        <v>129</v>
      </c>
      <c r="N16" s="13" t="s">
        <v>75</v>
      </c>
      <c r="O16" s="13" t="s">
        <v>130</v>
      </c>
      <c r="P16" s="13" t="s">
        <v>25</v>
      </c>
      <c r="Q16" s="12" t="s">
        <v>26</v>
      </c>
      <c r="R16" s="12" t="s">
        <v>27</v>
      </c>
      <c r="S16" s="12" t="s">
        <v>28</v>
      </c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E17" s="11" t="s">
        <v>14</v>
      </c>
      <c r="F17" s="11">
        <v>170.0</v>
      </c>
      <c r="G17" s="13" t="s">
        <v>131</v>
      </c>
      <c r="H17" s="13" t="s">
        <v>132</v>
      </c>
      <c r="I17" s="13" t="s">
        <v>18</v>
      </c>
      <c r="J17" s="13" t="s">
        <v>133</v>
      </c>
      <c r="K17" s="13" t="s">
        <v>134</v>
      </c>
      <c r="L17" s="13" t="s">
        <v>21</v>
      </c>
      <c r="M17" s="13" t="s">
        <v>135</v>
      </c>
      <c r="N17" s="13" t="s">
        <v>75</v>
      </c>
      <c r="O17" s="13" t="s">
        <v>136</v>
      </c>
      <c r="P17" s="13" t="s">
        <v>25</v>
      </c>
      <c r="Q17" s="12" t="s">
        <v>26</v>
      </c>
      <c r="R17" s="12" t="s">
        <v>27</v>
      </c>
      <c r="S17" s="12" t="s">
        <v>28</v>
      </c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E18" s="11" t="s">
        <v>14</v>
      </c>
      <c r="F18" s="11">
        <v>180.0</v>
      </c>
      <c r="G18" s="13" t="s">
        <v>137</v>
      </c>
      <c r="H18" s="13" t="s">
        <v>138</v>
      </c>
      <c r="I18" s="13" t="s">
        <v>18</v>
      </c>
      <c r="J18" s="13" t="s">
        <v>139</v>
      </c>
      <c r="K18" s="13" t="s">
        <v>140</v>
      </c>
      <c r="L18" s="13" t="s">
        <v>21</v>
      </c>
      <c r="M18" s="13" t="s">
        <v>141</v>
      </c>
      <c r="N18" s="13" t="s">
        <v>75</v>
      </c>
      <c r="O18" s="13" t="s">
        <v>142</v>
      </c>
      <c r="P18" s="13" t="s">
        <v>25</v>
      </c>
      <c r="Q18" s="13" t="s">
        <v>26</v>
      </c>
      <c r="R18" s="13" t="s">
        <v>27</v>
      </c>
      <c r="S18" s="13" t="s">
        <v>28</v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E19" s="11" t="s">
        <v>14</v>
      </c>
      <c r="F19" s="11">
        <v>190.0</v>
      </c>
      <c r="G19" s="13" t="s">
        <v>143</v>
      </c>
      <c r="H19" s="13" t="s">
        <v>144</v>
      </c>
      <c r="I19" s="13" t="s">
        <v>18</v>
      </c>
      <c r="J19" s="13" t="s">
        <v>145</v>
      </c>
      <c r="K19" s="13" t="s">
        <v>146</v>
      </c>
      <c r="L19" s="13" t="s">
        <v>21</v>
      </c>
      <c r="M19" s="13" t="s">
        <v>147</v>
      </c>
      <c r="N19" s="13" t="s">
        <v>23</v>
      </c>
      <c r="O19" s="13" t="s">
        <v>148</v>
      </c>
      <c r="P19" s="13" t="s">
        <v>25</v>
      </c>
      <c r="Q19" s="13" t="s">
        <v>26</v>
      </c>
      <c r="R19" s="13" t="s">
        <v>27</v>
      </c>
      <c r="S19" s="13" t="s">
        <v>28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E20" s="11" t="s">
        <v>14</v>
      </c>
      <c r="F20" s="11">
        <v>200.0</v>
      </c>
      <c r="G20" s="13" t="s">
        <v>149</v>
      </c>
      <c r="H20" s="13" t="s">
        <v>150</v>
      </c>
      <c r="I20" s="13" t="s">
        <v>18</v>
      </c>
      <c r="J20" s="13" t="s">
        <v>151</v>
      </c>
      <c r="K20" s="13" t="s">
        <v>152</v>
      </c>
      <c r="L20" s="13" t="s">
        <v>21</v>
      </c>
      <c r="M20" s="13" t="s">
        <v>153</v>
      </c>
      <c r="N20" s="13" t="s">
        <v>23</v>
      </c>
      <c r="O20" s="13" t="s">
        <v>154</v>
      </c>
      <c r="P20" s="13" t="s">
        <v>25</v>
      </c>
      <c r="Q20" s="13" t="s">
        <v>26</v>
      </c>
      <c r="R20" s="13" t="s">
        <v>27</v>
      </c>
      <c r="S20" s="13" t="s">
        <v>28</v>
      </c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E21" s="11" t="s">
        <v>14</v>
      </c>
      <c r="F21" s="11">
        <v>210.0</v>
      </c>
      <c r="G21" s="13" t="s">
        <v>155</v>
      </c>
      <c r="H21" s="13" t="s">
        <v>156</v>
      </c>
      <c r="I21" s="13" t="s">
        <v>42</v>
      </c>
      <c r="J21" s="13" t="s">
        <v>157</v>
      </c>
      <c r="K21" s="13" t="s">
        <v>158</v>
      </c>
      <c r="L21" s="13" t="s">
        <v>21</v>
      </c>
      <c r="M21" s="13" t="s">
        <v>159</v>
      </c>
      <c r="N21" s="13" t="s">
        <v>23</v>
      </c>
      <c r="O21" s="13" t="s">
        <v>160</v>
      </c>
      <c r="P21" s="13" t="s">
        <v>25</v>
      </c>
      <c r="Q21" s="13" t="s">
        <v>26</v>
      </c>
      <c r="R21" s="13" t="s">
        <v>27</v>
      </c>
      <c r="S21" s="13" t="s">
        <v>28</v>
      </c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E22" s="11" t="s">
        <v>14</v>
      </c>
      <c r="F22" s="11">
        <v>220.0</v>
      </c>
      <c r="G22" s="13" t="s">
        <v>161</v>
      </c>
      <c r="H22" s="13" t="s">
        <v>162</v>
      </c>
      <c r="I22" s="13" t="s">
        <v>42</v>
      </c>
      <c r="J22" s="13" t="s">
        <v>163</v>
      </c>
      <c r="K22" s="13" t="s">
        <v>164</v>
      </c>
      <c r="L22" s="13" t="s">
        <v>21</v>
      </c>
      <c r="M22" s="13" t="s">
        <v>159</v>
      </c>
      <c r="N22" s="13" t="s">
        <v>75</v>
      </c>
      <c r="O22" s="13" t="s">
        <v>165</v>
      </c>
      <c r="P22" s="13" t="s">
        <v>25</v>
      </c>
      <c r="Q22" s="13" t="s">
        <v>26</v>
      </c>
      <c r="R22" s="13" t="s">
        <v>27</v>
      </c>
      <c r="S22" s="13" t="s">
        <v>28</v>
      </c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E23" s="11" t="s">
        <v>14</v>
      </c>
      <c r="F23" s="11">
        <v>230.0</v>
      </c>
      <c r="G23" s="13" t="s">
        <v>166</v>
      </c>
      <c r="H23" s="13" t="s">
        <v>167</v>
      </c>
      <c r="I23" s="13" t="s">
        <v>42</v>
      </c>
      <c r="J23" s="13" t="s">
        <v>168</v>
      </c>
      <c r="K23" s="13" t="s">
        <v>169</v>
      </c>
      <c r="L23" s="13" t="s">
        <v>21</v>
      </c>
      <c r="M23" s="13" t="s">
        <v>159</v>
      </c>
      <c r="N23" s="13" t="s">
        <v>170</v>
      </c>
      <c r="O23" s="13" t="s">
        <v>171</v>
      </c>
      <c r="P23" s="13" t="s">
        <v>25</v>
      </c>
      <c r="Q23" s="13" t="s">
        <v>26</v>
      </c>
      <c r="R23" s="13" t="s">
        <v>27</v>
      </c>
      <c r="S23" s="13" t="s">
        <v>28</v>
      </c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E24" s="11" t="s">
        <v>14</v>
      </c>
      <c r="F24" s="11">
        <v>240.0</v>
      </c>
      <c r="G24" s="13" t="s">
        <v>172</v>
      </c>
      <c r="H24" s="13" t="s">
        <v>173</v>
      </c>
      <c r="I24" s="13" t="s">
        <v>42</v>
      </c>
      <c r="J24" s="13" t="s">
        <v>174</v>
      </c>
      <c r="K24" s="13" t="s">
        <v>175</v>
      </c>
      <c r="L24" s="13" t="s">
        <v>21</v>
      </c>
      <c r="M24" s="13" t="s">
        <v>159</v>
      </c>
      <c r="N24" s="13" t="s">
        <v>176</v>
      </c>
      <c r="O24" s="13" t="s">
        <v>177</v>
      </c>
      <c r="P24" s="13" t="s">
        <v>25</v>
      </c>
      <c r="Q24" s="13" t="s">
        <v>26</v>
      </c>
      <c r="R24" s="13" t="s">
        <v>27</v>
      </c>
      <c r="S24" s="13" t="s">
        <v>28</v>
      </c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E25" s="11" t="s">
        <v>14</v>
      </c>
      <c r="F25" s="11">
        <v>250.0</v>
      </c>
      <c r="G25" s="13" t="s">
        <v>181</v>
      </c>
      <c r="H25" s="13" t="s">
        <v>182</v>
      </c>
      <c r="I25" s="13" t="s">
        <v>42</v>
      </c>
      <c r="J25" s="33" t="s">
        <v>183</v>
      </c>
      <c r="K25" s="13" t="s">
        <v>184</v>
      </c>
      <c r="L25" s="13" t="s">
        <v>21</v>
      </c>
      <c r="M25" s="13" t="s">
        <v>159</v>
      </c>
      <c r="N25" s="13" t="s">
        <v>185</v>
      </c>
      <c r="O25" s="13" t="s">
        <v>186</v>
      </c>
      <c r="P25" s="13" t="s">
        <v>25</v>
      </c>
      <c r="Q25" s="13" t="s">
        <v>26</v>
      </c>
      <c r="R25" s="13" t="s">
        <v>27</v>
      </c>
      <c r="S25" s="13" t="s">
        <v>28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E26" s="11" t="s">
        <v>14</v>
      </c>
      <c r="F26" s="11">
        <v>260.0</v>
      </c>
      <c r="G26" s="34" t="s">
        <v>187</v>
      </c>
      <c r="H26" s="13" t="s">
        <v>188</v>
      </c>
      <c r="I26" s="13" t="s">
        <v>18</v>
      </c>
      <c r="J26" s="13" t="s">
        <v>189</v>
      </c>
      <c r="K26" s="13" t="s">
        <v>190</v>
      </c>
      <c r="L26" s="13" t="s">
        <v>21</v>
      </c>
      <c r="M26" s="13" t="s">
        <v>191</v>
      </c>
      <c r="N26" s="13" t="s">
        <v>192</v>
      </c>
      <c r="O26" s="13" t="s">
        <v>193</v>
      </c>
      <c r="P26" s="13" t="s">
        <v>25</v>
      </c>
      <c r="Q26" s="13" t="s">
        <v>26</v>
      </c>
      <c r="R26" s="13" t="s">
        <v>27</v>
      </c>
      <c r="S26" s="13" t="s">
        <v>28</v>
      </c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E27" s="11" t="s">
        <v>14</v>
      </c>
      <c r="F27" s="11">
        <v>270.0</v>
      </c>
      <c r="G27" s="34" t="s">
        <v>194</v>
      </c>
      <c r="H27" s="13" t="s">
        <v>195</v>
      </c>
      <c r="I27" s="13" t="s">
        <v>18</v>
      </c>
      <c r="J27" s="13" t="s">
        <v>196</v>
      </c>
      <c r="K27" s="13" t="s">
        <v>190</v>
      </c>
      <c r="L27" s="13" t="s">
        <v>21</v>
      </c>
      <c r="M27" s="13" t="s">
        <v>197</v>
      </c>
      <c r="N27" s="13" t="s">
        <v>192</v>
      </c>
      <c r="O27" s="13" t="s">
        <v>198</v>
      </c>
      <c r="P27" s="13" t="s">
        <v>25</v>
      </c>
      <c r="Q27" s="13" t="s">
        <v>26</v>
      </c>
      <c r="R27" s="13" t="s">
        <v>27</v>
      </c>
      <c r="S27" s="13" t="s">
        <v>28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E28" s="11" t="s">
        <v>14</v>
      </c>
      <c r="F28" s="11">
        <v>280.0</v>
      </c>
      <c r="G28" s="34" t="s">
        <v>199</v>
      </c>
      <c r="H28" s="13" t="s">
        <v>200</v>
      </c>
      <c r="I28" s="13" t="s">
        <v>18</v>
      </c>
      <c r="J28" s="13" t="s">
        <v>201</v>
      </c>
      <c r="K28" s="13" t="s">
        <v>202</v>
      </c>
      <c r="L28" s="13" t="s">
        <v>21</v>
      </c>
      <c r="M28" s="13" t="s">
        <v>203</v>
      </c>
      <c r="N28" s="13" t="s">
        <v>192</v>
      </c>
      <c r="O28" s="13" t="s">
        <v>204</v>
      </c>
      <c r="P28" s="13" t="s">
        <v>25</v>
      </c>
      <c r="Q28" s="13" t="s">
        <v>26</v>
      </c>
      <c r="R28" s="13" t="s">
        <v>27</v>
      </c>
      <c r="S28" s="13" t="s">
        <v>28</v>
      </c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E29" s="34" t="s">
        <v>14</v>
      </c>
      <c r="F29" s="34">
        <v>290.0</v>
      </c>
      <c r="G29" s="34" t="s">
        <v>205</v>
      </c>
      <c r="H29" s="13" t="s">
        <v>206</v>
      </c>
      <c r="I29" s="13" t="s">
        <v>18</v>
      </c>
      <c r="J29" s="13" t="s">
        <v>207</v>
      </c>
      <c r="K29" s="13" t="s">
        <v>208</v>
      </c>
      <c r="L29" s="13" t="s">
        <v>21</v>
      </c>
      <c r="M29" s="13" t="s">
        <v>209</v>
      </c>
      <c r="N29" s="13" t="s">
        <v>210</v>
      </c>
      <c r="O29" s="13" t="s">
        <v>211</v>
      </c>
      <c r="P29" s="13" t="s">
        <v>25</v>
      </c>
      <c r="Q29" s="13" t="s">
        <v>26</v>
      </c>
      <c r="R29" s="13" t="s">
        <v>27</v>
      </c>
      <c r="S29" s="13" t="s">
        <v>28</v>
      </c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E30" s="34" t="s">
        <v>14</v>
      </c>
      <c r="F30" s="34">
        <v>300.0</v>
      </c>
      <c r="G30" s="34" t="s">
        <v>212</v>
      </c>
      <c r="H30" s="13" t="s">
        <v>213</v>
      </c>
      <c r="I30" s="13" t="s">
        <v>18</v>
      </c>
      <c r="J30" s="13" t="s">
        <v>214</v>
      </c>
      <c r="K30" s="13" t="s">
        <v>215</v>
      </c>
      <c r="L30" s="13" t="s">
        <v>21</v>
      </c>
      <c r="M30" s="13" t="s">
        <v>216</v>
      </c>
      <c r="N30" s="13" t="s">
        <v>210</v>
      </c>
      <c r="O30" s="13" t="s">
        <v>217</v>
      </c>
      <c r="P30" s="13" t="s">
        <v>25</v>
      </c>
      <c r="Q30" s="13" t="s">
        <v>26</v>
      </c>
      <c r="R30" s="13" t="s">
        <v>27</v>
      </c>
      <c r="S30" s="13" t="s">
        <v>28</v>
      </c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E31" s="34" t="s">
        <v>14</v>
      </c>
      <c r="F31" s="34">
        <v>310.0</v>
      </c>
      <c r="G31" s="34" t="s">
        <v>218</v>
      </c>
      <c r="H31" s="13" t="s">
        <v>219</v>
      </c>
      <c r="I31" s="13" t="s">
        <v>18</v>
      </c>
      <c r="J31" s="13" t="s">
        <v>220</v>
      </c>
      <c r="K31" s="13" t="s">
        <v>221</v>
      </c>
      <c r="L31" s="13" t="s">
        <v>21</v>
      </c>
      <c r="M31" s="13" t="s">
        <v>222</v>
      </c>
      <c r="N31" s="13" t="s">
        <v>210</v>
      </c>
      <c r="O31" s="13" t="s">
        <v>223</v>
      </c>
      <c r="P31" s="13" t="s">
        <v>25</v>
      </c>
      <c r="Q31" s="13" t="s">
        <v>26</v>
      </c>
      <c r="R31" s="13" t="s">
        <v>27</v>
      </c>
      <c r="S31" s="13" t="s">
        <v>28</v>
      </c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E32" s="34" t="s">
        <v>14</v>
      </c>
      <c r="F32" s="34">
        <v>320.0</v>
      </c>
      <c r="G32" s="34" t="s">
        <v>224</v>
      </c>
      <c r="H32" s="13" t="s">
        <v>225</v>
      </c>
      <c r="I32" s="13" t="s">
        <v>18</v>
      </c>
      <c r="J32" s="13" t="s">
        <v>226</v>
      </c>
      <c r="K32" s="13" t="s">
        <v>227</v>
      </c>
      <c r="L32" s="13" t="s">
        <v>21</v>
      </c>
      <c r="M32" s="13" t="s">
        <v>228</v>
      </c>
      <c r="N32" s="13" t="s">
        <v>210</v>
      </c>
      <c r="O32" s="13" t="s">
        <v>229</v>
      </c>
      <c r="P32" s="13" t="s">
        <v>25</v>
      </c>
      <c r="Q32" s="13" t="s">
        <v>26</v>
      </c>
      <c r="R32" s="13" t="s">
        <v>27</v>
      </c>
      <c r="S32" s="13" t="s">
        <v>28</v>
      </c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E33" s="34" t="s">
        <v>14</v>
      </c>
      <c r="F33" s="34">
        <v>330.0</v>
      </c>
      <c r="G33" s="34" t="s">
        <v>230</v>
      </c>
      <c r="H33" s="13" t="s">
        <v>231</v>
      </c>
      <c r="I33" s="13" t="s">
        <v>18</v>
      </c>
      <c r="J33" s="13" t="s">
        <v>232</v>
      </c>
      <c r="K33" s="13" t="s">
        <v>233</v>
      </c>
      <c r="L33" s="13" t="s">
        <v>21</v>
      </c>
      <c r="M33" s="13" t="s">
        <v>234</v>
      </c>
      <c r="N33" s="13" t="s">
        <v>210</v>
      </c>
      <c r="O33" s="13" t="s">
        <v>235</v>
      </c>
      <c r="P33" s="13" t="s">
        <v>25</v>
      </c>
      <c r="Q33" s="13" t="s">
        <v>26</v>
      </c>
      <c r="R33" s="13" t="s">
        <v>27</v>
      </c>
      <c r="S33" s="13" t="s">
        <v>28</v>
      </c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E34" s="34" t="s">
        <v>14</v>
      </c>
      <c r="F34" s="34">
        <v>340.0</v>
      </c>
      <c r="G34" s="34" t="s">
        <v>236</v>
      </c>
      <c r="H34" s="13" t="s">
        <v>237</v>
      </c>
      <c r="I34" s="13" t="s">
        <v>18</v>
      </c>
      <c r="J34" s="13" t="s">
        <v>238</v>
      </c>
      <c r="K34" s="13" t="s">
        <v>239</v>
      </c>
      <c r="L34" s="13" t="s">
        <v>21</v>
      </c>
      <c r="M34" s="13" t="s">
        <v>240</v>
      </c>
      <c r="N34" s="13" t="s">
        <v>241</v>
      </c>
      <c r="O34" s="13" t="s">
        <v>242</v>
      </c>
      <c r="P34" s="13" t="s">
        <v>25</v>
      </c>
      <c r="Q34" s="13" t="s">
        <v>26</v>
      </c>
      <c r="R34" s="13" t="s">
        <v>27</v>
      </c>
      <c r="S34" s="13" t="s">
        <v>28</v>
      </c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E35" s="34" t="s">
        <v>14</v>
      </c>
      <c r="F35" s="34">
        <v>350.0</v>
      </c>
      <c r="G35" s="34" t="s">
        <v>243</v>
      </c>
      <c r="H35" s="13" t="s">
        <v>244</v>
      </c>
      <c r="I35" s="13" t="s">
        <v>18</v>
      </c>
      <c r="J35" s="13" t="s">
        <v>245</v>
      </c>
      <c r="K35" s="13" t="s">
        <v>239</v>
      </c>
      <c r="L35" s="13" t="s">
        <v>21</v>
      </c>
      <c r="M35" s="13" t="s">
        <v>246</v>
      </c>
      <c r="N35" s="13" t="s">
        <v>241</v>
      </c>
      <c r="O35" s="13" t="s">
        <v>247</v>
      </c>
      <c r="P35" s="13" t="s">
        <v>25</v>
      </c>
      <c r="Q35" s="13" t="s">
        <v>26</v>
      </c>
      <c r="R35" s="13" t="s">
        <v>27</v>
      </c>
      <c r="S35" s="13" t="s">
        <v>28</v>
      </c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E36" s="34" t="s">
        <v>14</v>
      </c>
      <c r="F36" s="34">
        <v>360.0</v>
      </c>
      <c r="G36" s="34" t="s">
        <v>248</v>
      </c>
      <c r="H36" s="13" t="s">
        <v>249</v>
      </c>
      <c r="I36" s="13" t="s">
        <v>18</v>
      </c>
      <c r="J36" s="13" t="s">
        <v>250</v>
      </c>
      <c r="K36" s="13" t="s">
        <v>239</v>
      </c>
      <c r="L36" s="13" t="s">
        <v>21</v>
      </c>
      <c r="M36" s="13" t="s">
        <v>251</v>
      </c>
      <c r="N36" s="13" t="s">
        <v>241</v>
      </c>
      <c r="O36" s="13" t="s">
        <v>252</v>
      </c>
      <c r="P36" s="13" t="s">
        <v>25</v>
      </c>
      <c r="Q36" s="13" t="s">
        <v>26</v>
      </c>
      <c r="R36" s="13" t="s">
        <v>27</v>
      </c>
      <c r="S36" s="13" t="s">
        <v>28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E37" s="34" t="s">
        <v>14</v>
      </c>
      <c r="F37" s="34">
        <v>370.0</v>
      </c>
      <c r="G37" s="34" t="s">
        <v>253</v>
      </c>
      <c r="H37" s="13" t="s">
        <v>254</v>
      </c>
      <c r="I37" s="13" t="s">
        <v>18</v>
      </c>
      <c r="J37" s="13" t="s">
        <v>255</v>
      </c>
      <c r="K37" s="13" t="s">
        <v>256</v>
      </c>
      <c r="L37" s="13" t="s">
        <v>21</v>
      </c>
      <c r="M37" s="13" t="s">
        <v>269</v>
      </c>
      <c r="N37" s="13" t="s">
        <v>241</v>
      </c>
      <c r="O37" s="13" t="s">
        <v>270</v>
      </c>
      <c r="P37" s="13" t="s">
        <v>25</v>
      </c>
      <c r="Q37" s="13" t="s">
        <v>26</v>
      </c>
      <c r="R37" s="13" t="s">
        <v>27</v>
      </c>
      <c r="S37" s="13" t="s">
        <v>28</v>
      </c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E38" s="34" t="s">
        <v>14</v>
      </c>
      <c r="F38" s="34">
        <v>380.0</v>
      </c>
      <c r="G38" s="34" t="s">
        <v>271</v>
      </c>
      <c r="H38" s="13" t="s">
        <v>272</v>
      </c>
      <c r="I38" s="13" t="s">
        <v>18</v>
      </c>
      <c r="J38" s="13" t="s">
        <v>273</v>
      </c>
      <c r="K38" s="13" t="s">
        <v>274</v>
      </c>
      <c r="L38" s="13" t="s">
        <v>21</v>
      </c>
      <c r="M38" s="13" t="s">
        <v>275</v>
      </c>
      <c r="N38" s="13" t="s">
        <v>241</v>
      </c>
      <c r="O38" s="13" t="s">
        <v>276</v>
      </c>
      <c r="P38" s="13" t="s">
        <v>25</v>
      </c>
      <c r="Q38" s="13" t="s">
        <v>26</v>
      </c>
      <c r="R38" s="13" t="s">
        <v>27</v>
      </c>
      <c r="S38" s="13" t="s">
        <v>28</v>
      </c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E39" s="34" t="s">
        <v>14</v>
      </c>
      <c r="F39" s="34">
        <v>390.0</v>
      </c>
      <c r="G39" s="34" t="s">
        <v>277</v>
      </c>
      <c r="H39" s="13" t="s">
        <v>278</v>
      </c>
      <c r="I39" s="13" t="s">
        <v>42</v>
      </c>
      <c r="J39" s="13" t="s">
        <v>279</v>
      </c>
      <c r="K39" s="13" t="s">
        <v>280</v>
      </c>
      <c r="L39" s="13" t="s">
        <v>21</v>
      </c>
      <c r="M39" s="13" t="s">
        <v>159</v>
      </c>
      <c r="N39" s="13" t="s">
        <v>241</v>
      </c>
      <c r="O39" s="13" t="s">
        <v>281</v>
      </c>
      <c r="P39" s="13" t="s">
        <v>25</v>
      </c>
      <c r="Q39" s="13" t="s">
        <v>26</v>
      </c>
      <c r="R39" s="13" t="s">
        <v>27</v>
      </c>
      <c r="S39" s="13" t="s">
        <v>28</v>
      </c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E40" s="34" t="s">
        <v>14</v>
      </c>
      <c r="F40" s="34">
        <v>400.0</v>
      </c>
      <c r="G40" s="34" t="s">
        <v>282</v>
      </c>
      <c r="H40" s="13" t="s">
        <v>283</v>
      </c>
      <c r="I40" s="13" t="s">
        <v>18</v>
      </c>
      <c r="J40" s="13" t="s">
        <v>284</v>
      </c>
      <c r="K40" s="13" t="s">
        <v>285</v>
      </c>
      <c r="L40" s="13" t="s">
        <v>21</v>
      </c>
      <c r="M40" s="13" t="s">
        <v>286</v>
      </c>
      <c r="N40" s="13" t="s">
        <v>287</v>
      </c>
      <c r="O40" s="13" t="s">
        <v>288</v>
      </c>
      <c r="P40" s="13" t="s">
        <v>25</v>
      </c>
      <c r="Q40" s="13" t="s">
        <v>26</v>
      </c>
      <c r="R40" s="13" t="s">
        <v>27</v>
      </c>
      <c r="S40" s="13" t="s">
        <v>28</v>
      </c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E41" s="34" t="s">
        <v>14</v>
      </c>
      <c r="F41" s="34">
        <v>410.0</v>
      </c>
      <c r="G41" s="34" t="s">
        <v>289</v>
      </c>
      <c r="H41" s="13" t="s">
        <v>290</v>
      </c>
      <c r="I41" s="13" t="s">
        <v>18</v>
      </c>
      <c r="J41" s="13" t="s">
        <v>291</v>
      </c>
      <c r="K41" s="13" t="s">
        <v>292</v>
      </c>
      <c r="L41" s="13" t="s">
        <v>21</v>
      </c>
      <c r="M41" s="13" t="s">
        <v>293</v>
      </c>
      <c r="N41" s="13" t="s">
        <v>287</v>
      </c>
      <c r="O41" s="13" t="s">
        <v>294</v>
      </c>
      <c r="P41" s="13" t="s">
        <v>25</v>
      </c>
      <c r="Q41" s="13" t="s">
        <v>26</v>
      </c>
      <c r="R41" s="13" t="s">
        <v>27</v>
      </c>
      <c r="S41" s="13" t="s">
        <v>28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E42" s="34" t="s">
        <v>14</v>
      </c>
      <c r="F42" s="34">
        <v>420.0</v>
      </c>
      <c r="G42" s="34" t="s">
        <v>295</v>
      </c>
      <c r="H42" s="13" t="s">
        <v>296</v>
      </c>
      <c r="I42" s="13" t="s">
        <v>18</v>
      </c>
      <c r="J42" s="13" t="s">
        <v>297</v>
      </c>
      <c r="K42" s="13" t="s">
        <v>298</v>
      </c>
      <c r="L42" s="13" t="s">
        <v>21</v>
      </c>
      <c r="M42" s="13" t="s">
        <v>299</v>
      </c>
      <c r="N42" s="13" t="s">
        <v>287</v>
      </c>
      <c r="O42" s="13" t="s">
        <v>300</v>
      </c>
      <c r="P42" s="13" t="s">
        <v>25</v>
      </c>
      <c r="Q42" s="13" t="s">
        <v>26</v>
      </c>
      <c r="R42" s="13" t="s">
        <v>27</v>
      </c>
      <c r="S42" s="13" t="s">
        <v>28</v>
      </c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E43" s="34" t="s">
        <v>14</v>
      </c>
      <c r="F43" s="34">
        <v>430.0</v>
      </c>
      <c r="G43" s="34" t="s">
        <v>301</v>
      </c>
      <c r="H43" s="13" t="s">
        <v>302</v>
      </c>
      <c r="I43" s="13" t="s">
        <v>18</v>
      </c>
      <c r="J43" s="13" t="s">
        <v>303</v>
      </c>
      <c r="K43" s="13" t="s">
        <v>304</v>
      </c>
      <c r="L43" s="13" t="s">
        <v>21</v>
      </c>
      <c r="M43" s="13" t="s">
        <v>305</v>
      </c>
      <c r="N43" s="13" t="s">
        <v>287</v>
      </c>
      <c r="O43" s="13" t="s">
        <v>306</v>
      </c>
      <c r="P43" s="13" t="s">
        <v>25</v>
      </c>
      <c r="Q43" s="13" t="s">
        <v>26</v>
      </c>
      <c r="R43" s="13" t="s">
        <v>27</v>
      </c>
      <c r="S43" s="13" t="s">
        <v>28</v>
      </c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E44" s="34" t="s">
        <v>14</v>
      </c>
      <c r="F44" s="34">
        <v>440.0</v>
      </c>
      <c r="G44" s="34" t="s">
        <v>307</v>
      </c>
      <c r="H44" s="13" t="s">
        <v>308</v>
      </c>
      <c r="I44" s="13" t="s">
        <v>18</v>
      </c>
      <c r="J44" s="13" t="s">
        <v>309</v>
      </c>
      <c r="K44" s="13" t="s">
        <v>310</v>
      </c>
      <c r="L44" s="13" t="s">
        <v>21</v>
      </c>
      <c r="M44" s="13" t="s">
        <v>311</v>
      </c>
      <c r="N44" s="13" t="s">
        <v>287</v>
      </c>
      <c r="O44" s="13" t="s">
        <v>312</v>
      </c>
      <c r="P44" s="13" t="s">
        <v>25</v>
      </c>
      <c r="Q44" s="13" t="s">
        <v>26</v>
      </c>
      <c r="R44" s="13" t="s">
        <v>27</v>
      </c>
      <c r="S44" s="13" t="s">
        <v>28</v>
      </c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E45" s="34" t="s">
        <v>14</v>
      </c>
      <c r="F45" s="34">
        <v>450.0</v>
      </c>
      <c r="G45" s="34" t="s">
        <v>313</v>
      </c>
      <c r="H45" s="13" t="s">
        <v>314</v>
      </c>
      <c r="I45" s="13" t="s">
        <v>18</v>
      </c>
      <c r="J45" s="13" t="s">
        <v>315</v>
      </c>
      <c r="K45" s="13" t="s">
        <v>316</v>
      </c>
      <c r="L45" s="13" t="s">
        <v>21</v>
      </c>
      <c r="M45" s="13" t="s">
        <v>317</v>
      </c>
      <c r="N45" s="13" t="s">
        <v>287</v>
      </c>
      <c r="O45" s="13" t="s">
        <v>318</v>
      </c>
      <c r="P45" s="13" t="s">
        <v>25</v>
      </c>
      <c r="Q45" s="13" t="s">
        <v>26</v>
      </c>
      <c r="R45" s="13" t="s">
        <v>27</v>
      </c>
      <c r="S45" s="13" t="s">
        <v>28</v>
      </c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E46" s="34" t="s">
        <v>14</v>
      </c>
      <c r="F46" s="34">
        <v>460.0</v>
      </c>
      <c r="G46" s="34" t="s">
        <v>319</v>
      </c>
      <c r="H46" s="13" t="s">
        <v>320</v>
      </c>
      <c r="I46" s="13" t="s">
        <v>42</v>
      </c>
      <c r="J46" s="13" t="s">
        <v>321</v>
      </c>
      <c r="K46" s="13" t="s">
        <v>322</v>
      </c>
      <c r="L46" s="13" t="s">
        <v>21</v>
      </c>
      <c r="M46" s="13" t="s">
        <v>323</v>
      </c>
      <c r="N46" s="13" t="s">
        <v>287</v>
      </c>
      <c r="O46" s="13" t="s">
        <v>324</v>
      </c>
      <c r="P46" s="13" t="s">
        <v>25</v>
      </c>
      <c r="Q46" s="13" t="s">
        <v>26</v>
      </c>
      <c r="R46" s="13" t="s">
        <v>57</v>
      </c>
      <c r="S46" s="13" t="s">
        <v>28</v>
      </c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E47" s="11"/>
      <c r="F47" s="11"/>
      <c r="G47" s="11"/>
      <c r="H47" s="12"/>
      <c r="I47" s="12"/>
      <c r="J47" s="12"/>
      <c r="K47" s="12"/>
      <c r="L47" s="35"/>
      <c r="M47" s="12"/>
      <c r="N47" s="12"/>
      <c r="O47" s="35"/>
      <c r="P47" s="12"/>
      <c r="Q47" s="12"/>
      <c r="R47" s="12"/>
      <c r="S47" s="12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E48" s="11"/>
      <c r="F48" s="11"/>
      <c r="G48" s="11"/>
      <c r="H48" s="12"/>
      <c r="I48" s="12"/>
      <c r="J48" s="12"/>
      <c r="K48" s="12"/>
      <c r="L48" s="35"/>
      <c r="M48" s="12"/>
      <c r="N48" s="12"/>
      <c r="O48" s="35"/>
      <c r="P48" s="12"/>
      <c r="Q48" s="12"/>
      <c r="R48" s="12"/>
      <c r="S48" s="12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E49" s="11"/>
      <c r="F49" s="11"/>
      <c r="G49" s="11"/>
      <c r="H49" s="12"/>
      <c r="I49" s="12"/>
      <c r="J49" s="12"/>
      <c r="K49" s="12"/>
      <c r="L49" s="35"/>
      <c r="M49" s="12"/>
      <c r="N49" s="12"/>
      <c r="O49" s="35"/>
      <c r="P49" s="12"/>
      <c r="Q49" s="12"/>
      <c r="R49" s="12"/>
      <c r="S49" s="12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E50" s="11"/>
      <c r="F50" s="11"/>
      <c r="G50" s="11"/>
      <c r="H50" s="12"/>
      <c r="I50" s="12"/>
      <c r="J50" s="12"/>
      <c r="K50" s="12"/>
      <c r="L50" s="35"/>
      <c r="M50" s="12"/>
      <c r="N50" s="12"/>
      <c r="O50" s="35"/>
      <c r="P50" s="12"/>
      <c r="Q50" s="12"/>
      <c r="R50" s="12"/>
      <c r="S50" s="12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E51" s="11"/>
      <c r="F51" s="11"/>
      <c r="G51" s="11"/>
      <c r="H51" s="12"/>
      <c r="I51" s="12"/>
      <c r="J51" s="12"/>
      <c r="K51" s="12"/>
      <c r="L51" s="35"/>
      <c r="M51" s="12"/>
      <c r="N51" s="12"/>
      <c r="O51" s="35"/>
      <c r="P51" s="12"/>
      <c r="Q51" s="12"/>
      <c r="R51" s="12"/>
      <c r="S51" s="12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ht="44.25" customHeight="1">
      <c r="E52" s="11"/>
      <c r="F52" s="11"/>
      <c r="G52" s="11"/>
      <c r="H52" s="12"/>
      <c r="I52" s="12"/>
      <c r="J52" s="12"/>
      <c r="K52" s="12"/>
      <c r="L52" s="35"/>
      <c r="M52" s="12"/>
      <c r="N52" s="12"/>
      <c r="O52" s="35"/>
      <c r="P52" s="12"/>
      <c r="Q52" s="12"/>
      <c r="R52" s="12"/>
      <c r="S52" s="12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E53" s="11"/>
      <c r="F53" s="11"/>
      <c r="G53" s="11"/>
      <c r="H53" s="12"/>
      <c r="I53" s="12"/>
      <c r="J53" s="12"/>
      <c r="K53" s="12"/>
      <c r="L53" s="36"/>
      <c r="M53" s="12"/>
      <c r="N53" s="12"/>
      <c r="O53" s="35"/>
      <c r="P53" s="12"/>
      <c r="Q53" s="12"/>
      <c r="R53" s="12"/>
      <c r="S53" s="12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E54" s="11"/>
      <c r="F54" s="11"/>
      <c r="G54" s="11"/>
      <c r="H54" s="12"/>
      <c r="I54" s="12"/>
      <c r="J54" s="12"/>
      <c r="K54" s="12"/>
      <c r="L54" s="37"/>
      <c r="M54" s="12"/>
      <c r="N54" s="12"/>
      <c r="O54" s="35"/>
      <c r="P54" s="12"/>
      <c r="Q54" s="12"/>
      <c r="R54" s="12"/>
      <c r="S54" s="12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E55" s="11"/>
      <c r="F55" s="11"/>
      <c r="G55" s="11"/>
      <c r="H55" s="12"/>
      <c r="I55" s="12"/>
      <c r="J55" s="12"/>
      <c r="K55" s="12"/>
      <c r="L55" s="37"/>
      <c r="M55" s="12"/>
      <c r="N55" s="12"/>
      <c r="O55" s="35"/>
      <c r="P55" s="12"/>
      <c r="Q55" s="12"/>
      <c r="R55" s="12"/>
      <c r="S55" s="12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E56" s="11"/>
      <c r="F56" s="11"/>
      <c r="G56" s="11"/>
      <c r="H56" s="12"/>
      <c r="I56" s="12"/>
      <c r="J56" s="12"/>
      <c r="K56" s="12"/>
      <c r="L56" s="37"/>
      <c r="M56" s="12"/>
      <c r="N56" s="12"/>
      <c r="O56" s="35"/>
      <c r="P56" s="12"/>
      <c r="Q56" s="12"/>
      <c r="R56" s="12"/>
      <c r="S56" s="12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E57" s="11"/>
      <c r="F57" s="11"/>
      <c r="G57" s="11"/>
      <c r="H57" s="12"/>
      <c r="I57" s="12"/>
      <c r="J57" s="12"/>
      <c r="K57" s="12"/>
      <c r="L57" s="37"/>
      <c r="M57" s="12"/>
      <c r="N57" s="12"/>
      <c r="O57" s="35"/>
      <c r="P57" s="12"/>
      <c r="Q57" s="12"/>
      <c r="R57" s="12"/>
      <c r="S57" s="12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E58" s="11"/>
      <c r="F58" s="11"/>
      <c r="G58" s="11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35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E59" s="11"/>
      <c r="F59" s="11"/>
      <c r="G59" s="11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35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E60" s="11"/>
      <c r="F60" s="11"/>
      <c r="G60" s="11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35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E61" s="11"/>
      <c r="F61" s="11"/>
      <c r="G61" s="11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35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E62" s="11"/>
      <c r="F62" s="11"/>
      <c r="G62" s="11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35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E63" s="11"/>
      <c r="F63" s="11"/>
      <c r="G63" s="11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35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E64" s="11"/>
      <c r="F64" s="11"/>
      <c r="G64" s="11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35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E65" s="11"/>
      <c r="F65" s="11"/>
      <c r="G65" s="11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35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E66" s="11"/>
      <c r="F66" s="11"/>
      <c r="G66" s="11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35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E67" s="11"/>
      <c r="F67" s="11"/>
      <c r="G67" s="11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35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E68" s="11"/>
      <c r="F68" s="11"/>
      <c r="G68" s="11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35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E69" s="11"/>
      <c r="F69" s="11"/>
      <c r="G69" s="11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35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E70" s="11"/>
      <c r="F70" s="11"/>
      <c r="G70" s="45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E71" s="46"/>
      <c r="F71" s="45"/>
      <c r="G71" s="45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E72" s="46"/>
      <c r="F72" s="45"/>
      <c r="G72" s="45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E73" s="46"/>
      <c r="F73" s="45"/>
      <c r="G73" s="45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E74" s="46"/>
      <c r="F74" s="45"/>
      <c r="G74" s="45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E75" s="46"/>
      <c r="F75" s="45"/>
      <c r="G75" s="45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E76" s="46"/>
      <c r="F76" s="45"/>
      <c r="G76" s="45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E77" s="46"/>
      <c r="F77" s="45"/>
      <c r="G77" s="45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E78" s="46"/>
      <c r="F78" s="45"/>
      <c r="G78" s="45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E79" s="46"/>
      <c r="F79" s="45"/>
      <c r="G79" s="45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E80" s="46"/>
      <c r="F80" s="45"/>
      <c r="G80" s="45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E81" s="46"/>
      <c r="F81" s="45"/>
      <c r="G81" s="45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E82" s="46"/>
      <c r="F82" s="45"/>
      <c r="G82" s="45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E83" s="46"/>
      <c r="F83" s="45"/>
      <c r="G83" s="45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E84" s="46"/>
      <c r="F84" s="45"/>
      <c r="G84" s="45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E85" s="46"/>
      <c r="F85" s="45"/>
      <c r="G85" s="45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E86" s="46"/>
      <c r="F86" s="45"/>
      <c r="G86" s="45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E87" s="46"/>
      <c r="F87" s="45"/>
      <c r="G87" s="45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Y87" s="10"/>
      <c r="Z87" s="10"/>
      <c r="AA87" s="10"/>
      <c r="AB87" s="10"/>
      <c r="AC87" s="10"/>
    </row>
    <row r="88">
      <c r="E88" s="46"/>
      <c r="F88" s="45"/>
      <c r="G88" s="45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E89" s="46"/>
      <c r="F89" s="45"/>
      <c r="G89" s="45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E90" s="46"/>
      <c r="F90" s="45"/>
      <c r="G90" s="45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E91" s="46"/>
      <c r="F91" s="45"/>
      <c r="G91" s="45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E92" s="46"/>
      <c r="F92" s="45"/>
      <c r="G92" s="45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E93" s="46"/>
      <c r="F93" s="45"/>
      <c r="G93" s="45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E94" s="46"/>
      <c r="F94" s="45"/>
      <c r="G94" s="45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E95" s="46"/>
      <c r="F95" s="45"/>
      <c r="G95" s="45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E96" s="46"/>
      <c r="F96" s="45"/>
      <c r="G96" s="45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E97" s="46"/>
      <c r="F97" s="45"/>
      <c r="G97" s="45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E98" s="46"/>
      <c r="F98" s="45"/>
      <c r="G98" s="45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E99" s="46"/>
      <c r="F99" s="45"/>
      <c r="G99" s="45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E100" s="46"/>
      <c r="F100" s="45"/>
      <c r="G100" s="45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E101" s="46"/>
      <c r="F101" s="45"/>
      <c r="G101" s="45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E102" s="46"/>
      <c r="F102" s="45"/>
      <c r="G102" s="45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E103" s="46"/>
      <c r="F103" s="45"/>
      <c r="G103" s="45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E104" s="46"/>
      <c r="F104" s="45"/>
      <c r="G104" s="45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E105" s="46"/>
      <c r="F105" s="45"/>
      <c r="G105" s="45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E106" s="46"/>
      <c r="F106" s="45"/>
      <c r="G106" s="45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E107" s="46"/>
      <c r="F107" s="45"/>
      <c r="G107" s="45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E108" s="46"/>
      <c r="F108" s="45"/>
      <c r="G108" s="45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E109" s="46"/>
      <c r="F109" s="45"/>
      <c r="G109" s="45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E110" s="46"/>
      <c r="F110" s="45"/>
      <c r="G110" s="45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E111" s="46"/>
      <c r="F111" s="45"/>
      <c r="G111" s="45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E112" s="46"/>
      <c r="F112" s="45"/>
      <c r="G112" s="45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E113" s="46"/>
      <c r="F113" s="45"/>
      <c r="G113" s="45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E114" s="46"/>
      <c r="F114" s="45"/>
      <c r="G114" s="45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E115" s="46"/>
      <c r="F115" s="45"/>
      <c r="G115" s="45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E116" s="46"/>
      <c r="F116" s="45"/>
      <c r="G116" s="45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E117" s="46"/>
      <c r="F117" s="45"/>
      <c r="G117" s="45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E118" s="46"/>
      <c r="F118" s="45"/>
      <c r="G118" s="45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E119" s="46"/>
      <c r="F119" s="45"/>
      <c r="G119" s="45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E120" s="46"/>
      <c r="F120" s="45"/>
      <c r="G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E121" s="10"/>
      <c r="F121" s="10"/>
      <c r="G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E122" s="10"/>
      <c r="F122" s="10"/>
      <c r="G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E123" s="10"/>
      <c r="F123" s="10"/>
      <c r="G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E124" s="10"/>
      <c r="F124" s="10"/>
      <c r="G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E125" s="10"/>
      <c r="F125" s="10"/>
      <c r="G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E126" s="10"/>
      <c r="F126" s="10"/>
      <c r="G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E127" s="10"/>
      <c r="F127" s="10"/>
      <c r="G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E128" s="10"/>
      <c r="F128" s="10"/>
      <c r="G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E129" s="10"/>
      <c r="F129" s="10"/>
      <c r="G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E130" s="10"/>
      <c r="F130" s="10"/>
      <c r="G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E131" s="10"/>
      <c r="F131" s="10"/>
      <c r="G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E132" s="10"/>
      <c r="F132" s="10"/>
      <c r="G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E133" s="10"/>
      <c r="F133" s="10"/>
      <c r="G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E134" s="10"/>
      <c r="F134" s="10"/>
      <c r="G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E135" s="10"/>
      <c r="F135" s="10"/>
      <c r="G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E136" s="10"/>
      <c r="F136" s="10"/>
      <c r="G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E137" s="10"/>
      <c r="F137" s="10"/>
      <c r="G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E138" s="10"/>
      <c r="F138" s="10"/>
      <c r="G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E139" s="10"/>
      <c r="F139" s="10"/>
      <c r="G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E140" s="10"/>
      <c r="F140" s="10"/>
      <c r="G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E141" s="10"/>
      <c r="F141" s="10"/>
      <c r="G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E142" s="10"/>
      <c r="F142" s="10"/>
      <c r="G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E143" s="10"/>
      <c r="F143" s="10"/>
      <c r="G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E144" s="10"/>
      <c r="F144" s="10"/>
      <c r="G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E145" s="10"/>
      <c r="F145" s="10"/>
      <c r="G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E146" s="10"/>
      <c r="F146" s="10"/>
      <c r="G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E147" s="10"/>
      <c r="F147" s="10"/>
      <c r="G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E148" s="10"/>
      <c r="F148" s="10"/>
      <c r="G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E149" s="10"/>
      <c r="F149" s="10"/>
      <c r="G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E150" s="10"/>
      <c r="F150" s="10"/>
      <c r="G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E151" s="10"/>
      <c r="F151" s="10"/>
      <c r="G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E152" s="10"/>
      <c r="F152" s="10"/>
      <c r="G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E153" s="10"/>
      <c r="F153" s="10"/>
      <c r="G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E154" s="10"/>
      <c r="F154" s="10"/>
      <c r="G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E155" s="10"/>
      <c r="F155" s="10"/>
      <c r="G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E156" s="10"/>
      <c r="F156" s="10"/>
      <c r="G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E157" s="10"/>
      <c r="F157" s="10"/>
      <c r="G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E158" s="10"/>
      <c r="F158" s="10"/>
      <c r="G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E159" s="10"/>
      <c r="F159" s="10"/>
      <c r="G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E160" s="10"/>
      <c r="F160" s="10"/>
      <c r="G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E161" s="10"/>
      <c r="F161" s="10"/>
      <c r="G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E162" s="10"/>
      <c r="F162" s="10"/>
      <c r="G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E163" s="10"/>
      <c r="F163" s="10"/>
      <c r="G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E164" s="10"/>
      <c r="F164" s="10"/>
      <c r="G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E165" s="10"/>
      <c r="F165" s="10"/>
      <c r="G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 ht="42.0" customHeight="1"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 ht="48.0" customHeight="1"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 ht="46.5" customHeight="1"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 ht="34.5" customHeight="1"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 ht="45.0" customHeight="1"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 ht="46.5" customHeight="1"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ht="45.0" customHeight="1"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 ht="43.5" customHeight="1"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 ht="37.5" customHeight="1"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 ht="36.0" customHeight="1"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 ht="43.5" customHeight="1"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 ht="39.0" customHeight="1"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 ht="39.0" customHeight="1"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 ht="42.0" customHeight="1"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ht="42.0" customHeight="1"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ht="42.0" customHeight="1"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ht="36.0" customHeight="1"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ht="37.5" customHeight="1"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ht="48.0" customHeight="1"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 ht="37.5" customHeight="1"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 ht="58.5" customHeight="1"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49"/>
      <c r="U246" s="1"/>
      <c r="V246" s="74"/>
      <c r="W246" s="75"/>
      <c r="X246" s="75"/>
      <c r="Y246" s="10"/>
      <c r="Z246" s="10"/>
      <c r="AA246" s="10"/>
      <c r="AB246" s="10"/>
      <c r="AC246" s="10"/>
    </row>
    <row r="247"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49"/>
      <c r="U247" s="1"/>
      <c r="V247" s="74"/>
      <c r="W247" s="75"/>
      <c r="X247" s="75"/>
      <c r="Y247" s="10"/>
      <c r="Z247" s="10"/>
      <c r="AA247" s="10"/>
      <c r="AB247" s="10"/>
      <c r="AC247" s="10"/>
    </row>
    <row r="248"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49"/>
      <c r="U248" s="1"/>
      <c r="V248" s="74"/>
      <c r="W248" s="75"/>
      <c r="X248" s="75"/>
      <c r="Y248" s="10"/>
      <c r="Z248" s="10"/>
      <c r="AA248" s="10"/>
      <c r="AB248" s="10"/>
      <c r="AC248" s="10"/>
    </row>
    <row r="249"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49"/>
      <c r="U249" s="1"/>
      <c r="V249" s="74"/>
      <c r="W249" s="75"/>
      <c r="X249" s="75"/>
      <c r="Y249" s="10"/>
      <c r="Z249" s="10"/>
      <c r="AA249" s="10"/>
      <c r="AB249" s="10"/>
      <c r="AC249" s="10"/>
    </row>
    <row r="250"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49"/>
      <c r="U250" s="1"/>
      <c r="V250" s="74"/>
      <c r="W250" s="75"/>
      <c r="X250" s="75"/>
      <c r="Y250" s="10"/>
      <c r="Z250" s="10"/>
      <c r="AA250" s="10"/>
      <c r="AB250" s="10"/>
      <c r="AC250" s="10"/>
    </row>
    <row r="251"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49"/>
      <c r="U251" s="1"/>
      <c r="V251" s="74"/>
      <c r="W251" s="75"/>
      <c r="X251" s="75"/>
      <c r="Y251" s="10"/>
      <c r="Z251" s="10"/>
      <c r="AA251" s="10"/>
      <c r="AB251" s="10"/>
      <c r="AC251" s="10"/>
    </row>
    <row r="252"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49"/>
      <c r="U252" s="1"/>
      <c r="V252" s="74"/>
      <c r="W252" s="75"/>
      <c r="X252" s="75"/>
      <c r="Y252" s="10"/>
      <c r="Z252" s="10"/>
      <c r="AA252" s="10"/>
      <c r="AB252" s="10"/>
      <c r="AC252" s="10"/>
    </row>
    <row r="253"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 ht="15.75" customHeight="1"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 ht="15.75" customHeight="1"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 ht="15.75" customHeight="1"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 ht="15.75" customHeight="1"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 ht="15.75" customHeight="1"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 ht="15.75" customHeight="1"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 ht="15.75" customHeight="1"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 ht="15.75" customHeight="1"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 ht="15.75" customHeight="1"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 ht="15.75" customHeight="1"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 ht="15.75" customHeight="1"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 ht="15.75" customHeight="1"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 ht="15.75" customHeight="1"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 ht="15.75" customHeight="1"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 ht="15.75" customHeight="1"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 ht="15.75" customHeight="1"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 ht="15.75" customHeight="1"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 ht="15.75" customHeight="1"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 ht="15.75" customHeight="1"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 ht="15.75" customHeight="1"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 ht="15.75" customHeight="1"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 ht="15.75" customHeight="1"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 ht="15.75" customHeight="1"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 ht="15.75" customHeight="1"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 ht="15.75" customHeight="1"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 ht="15.75" customHeight="1"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 ht="15.75" customHeight="1"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 ht="15.75" customHeight="1"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 ht="15.75" customHeight="1"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 ht="15.75" customHeight="1"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 ht="15.75" customHeight="1"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 ht="15.75" customHeight="1"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 ht="15.75" customHeight="1"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 ht="15.75" customHeight="1"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 ht="15.75" customHeight="1"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 ht="15.75" customHeight="1"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 ht="15.75" customHeight="1"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 ht="15.75" customHeight="1"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 ht="15.75" customHeight="1"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 ht="15.75" customHeight="1"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 ht="15.75" customHeight="1"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 ht="15.75" customHeight="1"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 ht="15.75" customHeight="1"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 ht="15.75" customHeight="1"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 ht="15.75" customHeight="1"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 ht="15.75" customHeight="1"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 ht="15.75" customHeight="1"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 ht="15.75" customHeight="1"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 ht="15.75" customHeight="1"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 ht="15.75" customHeight="1"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 ht="15.75" customHeight="1"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 ht="15.75" customHeight="1"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 ht="15.75" customHeight="1"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 ht="15.75" customHeight="1"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 ht="15.75" customHeight="1"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 ht="15.75" customHeight="1"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 ht="15.75" customHeight="1"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 ht="15.75" customHeight="1"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 ht="15.75" customHeight="1"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 ht="15.75" customHeight="1"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 ht="15.75" customHeight="1"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 ht="15.75" customHeight="1"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 ht="15.75" customHeight="1"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 ht="15.75" customHeight="1"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 ht="15.75" customHeight="1"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 ht="15.75" customHeight="1"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 ht="15.75" customHeight="1"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 ht="15.75" customHeight="1"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 ht="15.75" customHeight="1"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 ht="15.75" customHeight="1"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 ht="15.75" customHeight="1"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 ht="15.75" customHeight="1"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 ht="15.75" customHeight="1"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 ht="15.75" customHeight="1"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 ht="15.75" customHeight="1"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 ht="15.75" customHeight="1"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 ht="15.75" customHeight="1"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 ht="15.75" customHeight="1"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 ht="15.75" customHeight="1"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 ht="15.75" customHeight="1"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 ht="15.75" customHeight="1"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 ht="15.75" customHeight="1"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 ht="15.75" customHeight="1"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 ht="15.75" customHeight="1"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 ht="15.75" customHeight="1"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 ht="15.75" customHeight="1"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 ht="15.75" customHeight="1"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 ht="15.75" customHeight="1"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 ht="15.75" customHeight="1"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 ht="15.75" customHeight="1"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 ht="15.75" customHeight="1"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 ht="15.75" customHeight="1"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 ht="15.75" customHeight="1"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 ht="15.75" customHeight="1"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 ht="15.75" customHeight="1"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 ht="15.75" customHeight="1"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 ht="15.75" customHeight="1"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 ht="15.75" customHeight="1"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 ht="15.75" customHeight="1"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 ht="15.75" customHeight="1"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 ht="15.75" customHeight="1"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 ht="15.75" customHeight="1"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 ht="15.75" customHeight="1"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 ht="15.75" customHeight="1"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 ht="15.75" customHeight="1"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 ht="15.75" customHeight="1"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 ht="15.75" customHeight="1"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 ht="15.75" customHeight="1"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 ht="15.75" customHeight="1"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 ht="15.75" customHeight="1"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 ht="15.75" customHeight="1"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 ht="15.75" customHeight="1"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 ht="15.75" customHeight="1"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 ht="15.75" customHeight="1"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 ht="15.75" customHeight="1"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 ht="15.75" customHeight="1"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 ht="15.75" customHeight="1"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 ht="15.75" customHeight="1"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 ht="15.75" customHeight="1"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 ht="15.75" customHeight="1"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 ht="15.75" customHeight="1"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 ht="15.75" customHeight="1"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 ht="15.75" customHeight="1"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 ht="15.75" customHeight="1"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 ht="15.75" customHeight="1"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 ht="15.75" customHeight="1"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 ht="15.75" customHeight="1"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 ht="15.75" customHeight="1"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 ht="15.75" customHeight="1"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 ht="15.75" customHeight="1"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 ht="15.75" customHeight="1"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 ht="15.75" customHeight="1"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 ht="15.75" customHeight="1"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 ht="15.75" customHeight="1"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 ht="15.75" customHeight="1"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 ht="15.75" customHeight="1"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 ht="15.75" customHeight="1"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 ht="15.75" customHeight="1"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 ht="15.75" customHeight="1"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 ht="15.75" customHeight="1"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 ht="15.75" customHeight="1"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 ht="15.75" customHeight="1"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 ht="15.75" customHeight="1"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 ht="15.75" customHeight="1"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 ht="15.75" customHeight="1"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 ht="15.75" customHeight="1"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 ht="15.75" customHeight="1"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 ht="15.75" customHeight="1"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 ht="15.75" customHeight="1"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 ht="15.75" customHeight="1"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 ht="15.75" customHeight="1"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 ht="15.75" customHeight="1"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 ht="15.75" customHeight="1"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 ht="15.75" customHeight="1"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 ht="15.75" customHeight="1"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 ht="15.75" customHeight="1"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 ht="15.75" customHeight="1"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 ht="15.75" customHeight="1"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 ht="15.75" customHeight="1"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 ht="15.75" customHeight="1"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 ht="15.75" customHeight="1"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 ht="15.75" customHeight="1"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 ht="15.75" customHeight="1"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 ht="15.75" customHeight="1"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 ht="15.75" customHeight="1"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 ht="15.75" customHeight="1"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 ht="15.75" customHeight="1"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 ht="15.75" customHeight="1"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 ht="15.75" customHeight="1"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 ht="15.75" customHeight="1"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 ht="15.75" customHeight="1"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 ht="15.75" customHeight="1"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 ht="15.75" customHeight="1"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 ht="15.75" customHeight="1"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 ht="15.75" customHeight="1"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 ht="15.75" customHeight="1"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 ht="15.75" customHeight="1"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 ht="15.75" customHeight="1"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 ht="15.75" customHeight="1"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 ht="15.75" customHeight="1"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 ht="15.75" customHeight="1">
      <c r="E610" s="10"/>
      <c r="F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 ht="15.75" customHeight="1"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 ht="15.75" customHeight="1"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 ht="15.75" customHeight="1"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 ht="15.75" customHeight="1"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 ht="15.75" customHeight="1"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 ht="15.75" customHeight="1"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 ht="15.75" customHeight="1"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 ht="15.75" customHeight="1"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 ht="15.75" customHeight="1"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 ht="15.75" customHeight="1"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 ht="15.75" customHeight="1"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 ht="15.75" customHeight="1"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 ht="15.75" customHeight="1"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 ht="15.75" customHeight="1"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 ht="15.75" customHeight="1"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 ht="15.75" customHeight="1"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 ht="15.75" customHeight="1"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 ht="15.75" customHeight="1"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 ht="15.75" customHeight="1"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 ht="15.75" customHeight="1"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 ht="15.75" customHeight="1"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 ht="15.75" customHeight="1"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 ht="15.75" customHeight="1"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 ht="15.75" customHeight="1"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 ht="15.75" customHeight="1"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 ht="15.75" customHeight="1"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 ht="15.75" customHeight="1"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 ht="15.75" customHeight="1"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 ht="15.75" customHeight="1"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 ht="15.75" customHeight="1"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 ht="15.75" customHeight="1"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 ht="15.75" customHeight="1"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 ht="15.75" customHeight="1"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 ht="15.75" customHeight="1"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 ht="15.75" customHeight="1"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 ht="15.75" customHeight="1"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 ht="15.75" customHeight="1"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 ht="15.75" customHeight="1"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 ht="15.75" customHeight="1"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 ht="15.75" customHeight="1"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 ht="15.75" customHeight="1"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 ht="15.75" customHeight="1"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 ht="15.75" customHeight="1"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 ht="15.75" customHeight="1"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 ht="15.75" customHeight="1"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 ht="15.75" customHeight="1"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 ht="15.75" customHeight="1"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 ht="15.75" customHeight="1"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 ht="15.75" customHeight="1"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 ht="15.75" customHeight="1"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 ht="15.75" customHeight="1"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 ht="15.75" customHeight="1"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 ht="15.75" customHeight="1"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 ht="15.75" customHeight="1"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 ht="15.75" customHeight="1"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 ht="15.75" customHeight="1"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 ht="15.75" customHeight="1"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 ht="15.75" customHeight="1"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 ht="15.75" customHeight="1"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 ht="15.75" customHeight="1"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 ht="15.75" customHeight="1"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 ht="15.75" customHeight="1"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 ht="15.75" customHeight="1"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 ht="15.75" customHeight="1"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 ht="15.75" customHeight="1"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 ht="15.75" customHeight="1"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 ht="15.75" customHeight="1"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 ht="15.75" customHeight="1"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 ht="15.75" customHeight="1"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 ht="15.75" customHeight="1"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 ht="15.75" customHeight="1"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 ht="15.75" customHeight="1"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 ht="15.75" customHeight="1"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 ht="15.75" customHeight="1"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 ht="15.75" customHeight="1"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 ht="15.75" customHeight="1"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 ht="15.75" customHeight="1"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 ht="15.75" customHeight="1"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 ht="15.75" customHeight="1"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 ht="15.75" customHeight="1"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 ht="15.75" customHeight="1"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 ht="15.75" customHeight="1"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 ht="15.75" customHeight="1"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 ht="15.75" customHeight="1"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 ht="15.75" customHeight="1"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 ht="15.75" customHeight="1"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 ht="15.75" customHeight="1"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 ht="15.75" customHeight="1"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 ht="15.75" customHeight="1"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 ht="15.75" customHeight="1"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 ht="15.75" customHeight="1"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 ht="15.75" customHeight="1"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 ht="15.75" customHeight="1"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 ht="15.75" customHeight="1"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 ht="15.75" customHeight="1"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 ht="15.75" customHeight="1"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 ht="15.75" customHeight="1"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 ht="15.75" customHeight="1"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 ht="15.75" customHeight="1"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 ht="15.75" customHeight="1"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 ht="15.75" customHeight="1"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 ht="15.75" customHeight="1"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 ht="15.75" customHeight="1"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 ht="15.75" customHeight="1"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 ht="15.75" customHeight="1"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 ht="15.75" customHeight="1"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 ht="15.75" customHeight="1"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 ht="15.75" customHeight="1"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 ht="15.75" customHeight="1"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 ht="15.75" customHeight="1"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 ht="15.75" customHeight="1"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 ht="15.75" customHeight="1"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 ht="15.75" customHeight="1"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 ht="15.75" customHeight="1"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 ht="15.75" customHeight="1"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 ht="15.75" customHeight="1"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 ht="15.75" customHeight="1"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 ht="15.75" customHeight="1"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 ht="15.75" customHeight="1"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 ht="15.75" customHeight="1"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 ht="15.75" customHeight="1"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 ht="15.75" customHeight="1"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 ht="15.75" customHeight="1"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 ht="15.75" customHeight="1"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 ht="15.75" customHeight="1"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 ht="15.75" customHeight="1"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 ht="15.75" customHeight="1"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 ht="15.75" customHeight="1"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 ht="15.75" customHeight="1"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 ht="15.75" customHeight="1"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 ht="15.75" customHeight="1"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 ht="15.75" customHeight="1"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 ht="15.75" customHeight="1"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 ht="15.75" customHeight="1"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 ht="15.75" customHeight="1"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 ht="15.75" customHeight="1"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 ht="15.75" customHeight="1"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 ht="15.75" customHeight="1"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 ht="15.75" customHeight="1"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 ht="15.75" customHeight="1"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 ht="15.75" customHeight="1"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 ht="15.75" customHeight="1"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 ht="15.75" customHeight="1"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 ht="15.75" customHeight="1"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 ht="15.75" customHeight="1"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 ht="15.75" customHeight="1"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 ht="15.75" customHeight="1"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 ht="15.75" customHeight="1"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 ht="15.75" customHeight="1"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 ht="15.75" customHeight="1"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 ht="15.75" customHeight="1"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 ht="15.75" customHeight="1"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 ht="15.75" customHeight="1"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 ht="15.75" customHeight="1"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 ht="15.75" customHeight="1"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 ht="15.75" customHeight="1"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 ht="15.75" customHeight="1"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 ht="15.75" customHeight="1"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 ht="15.75" customHeight="1"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 ht="15.75" customHeight="1"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 ht="15.75" customHeight="1"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 ht="15.75" customHeight="1"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 ht="15.75" customHeight="1"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 ht="15.75" customHeight="1"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 ht="15.75" customHeight="1"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 ht="15.75" customHeight="1"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 ht="15.75" customHeight="1"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 ht="15.75" customHeight="1"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 ht="15.75" customHeight="1"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 ht="15.75" customHeight="1"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 ht="15.75" customHeight="1"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 ht="15.75" customHeight="1"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 ht="15.75" customHeight="1"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 ht="15.75" customHeight="1"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 ht="15.75" customHeight="1"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 ht="15.75" customHeight="1"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 ht="15.75" customHeight="1"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 ht="15.75" customHeight="1"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 ht="15.75" customHeight="1"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 ht="15.75" customHeight="1"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 ht="15.75" customHeight="1"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 ht="15.75" customHeight="1"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 ht="15.75" customHeight="1"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 ht="15.75" customHeight="1"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 ht="15.75" customHeight="1"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 ht="15.75" customHeight="1"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 ht="15.75" customHeight="1"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 ht="15.75" customHeight="1"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 ht="15.75" customHeight="1"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 ht="15.75" customHeight="1"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 ht="15.75" customHeight="1"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 ht="15.75" customHeight="1"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 ht="15.75" customHeight="1"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 ht="15.75" customHeight="1"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 ht="15.75" customHeight="1"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 ht="15.75" customHeight="1"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 ht="15.75" customHeight="1"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 ht="15.75" customHeight="1"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 ht="15.75" customHeight="1"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 ht="15.75" customHeight="1"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 ht="15.75" customHeight="1"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 ht="15.75" customHeight="1"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 ht="15.75" customHeight="1"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 ht="15.75" customHeight="1"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 ht="15.75" customHeight="1"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 ht="15.75" customHeight="1"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 ht="15.75" customHeight="1"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 ht="15.75" customHeight="1"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 ht="15.75" customHeight="1"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 ht="15.75" customHeight="1"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 ht="15.75" customHeight="1"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 ht="15.75" customHeight="1"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 ht="15.75" customHeight="1"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 ht="15.75" customHeight="1"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 ht="15.75" customHeight="1"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 ht="15.75" customHeight="1"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 ht="15.75" customHeight="1"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 ht="15.75" customHeight="1"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 ht="15.75" customHeight="1"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 ht="15.75" customHeight="1"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 ht="15.75" customHeight="1"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 ht="15.75" customHeight="1"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 ht="15.75" customHeight="1"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 ht="15.75" customHeight="1"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 ht="15.75" customHeight="1"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 ht="15.75" customHeight="1"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 ht="15.75" customHeight="1"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 ht="15.75" customHeight="1"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 ht="15.75" customHeight="1"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 ht="15.75" customHeight="1"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 ht="15.75" customHeight="1"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 ht="15.75" customHeight="1"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 ht="15.75" customHeight="1"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 ht="15.75" customHeight="1"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 ht="15.75" customHeight="1"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 ht="15.75" customHeight="1"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 ht="15.75" customHeight="1"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 ht="15.75" customHeight="1"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 ht="15.75" customHeight="1"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 ht="15.75" customHeight="1"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 ht="15.75" customHeight="1"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 ht="15.75" customHeight="1"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 ht="15.75" customHeight="1"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 ht="15.75" customHeight="1"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 ht="15.75" customHeight="1"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 ht="15.75" customHeight="1"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 ht="15.75" customHeight="1"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 ht="15.75" customHeight="1"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 ht="15.75" customHeight="1"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 ht="15.75" customHeight="1"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 ht="15.75" customHeight="1"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 ht="15.75" customHeight="1"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 ht="15.75" customHeight="1"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 ht="15.75" customHeight="1"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 ht="15.75" customHeight="1"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 ht="15.75" customHeight="1"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 ht="15.75" customHeight="1"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 ht="15.75" customHeight="1"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 ht="15.75" customHeight="1"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 ht="15.75" customHeight="1"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 ht="15.75" customHeight="1"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 ht="15.75" customHeight="1"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 ht="15.75" customHeight="1"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 ht="15.75" customHeight="1"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 ht="15.75" customHeight="1"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 ht="15.75" customHeight="1"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 ht="15.75" customHeight="1"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 ht="15.75" customHeight="1"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 ht="15.75" customHeight="1"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 ht="15.75" customHeight="1"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 ht="15.75" customHeight="1"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 ht="15.75" customHeight="1"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 ht="15.75" customHeight="1"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 ht="15.75" customHeight="1"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 ht="15.75" customHeight="1"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 ht="15.75" customHeight="1"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 ht="15.75" customHeight="1"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 ht="15.75" customHeight="1"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 ht="15.75" customHeight="1"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 ht="15.75" customHeight="1"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 ht="15.75" customHeight="1"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 ht="15.75" customHeight="1"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 ht="15.75" customHeight="1"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 ht="15.75" customHeight="1"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 ht="15.75" customHeight="1"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 ht="15.75" customHeight="1"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 ht="15.75" customHeight="1"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 ht="15.75" customHeight="1"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 ht="15.75" customHeight="1"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 ht="15.75" customHeight="1"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 ht="15.75" customHeight="1"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 ht="15.75" customHeight="1"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 ht="15.75" customHeight="1"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 ht="15.75" customHeight="1"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 ht="15.75" customHeight="1"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 ht="15.75" customHeight="1"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 ht="15.75" customHeight="1"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 ht="15.75" customHeight="1"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 ht="15.75" customHeight="1"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 ht="15.75" customHeight="1"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 ht="15.75" customHeight="1"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 ht="15.75" customHeight="1"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 ht="15.75" customHeight="1"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 ht="15.75" customHeight="1"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 ht="15.75" customHeight="1"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 ht="15.75" customHeight="1"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 ht="15.75" customHeight="1"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 ht="15.75" customHeight="1"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 ht="15.75" customHeight="1"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 ht="15.75" customHeight="1"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 ht="15.75" customHeight="1"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 ht="15.75" customHeight="1"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 ht="15.75" customHeight="1"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 ht="15.75" customHeight="1"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 ht="15.75" customHeight="1"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 ht="15.75" customHeight="1"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 ht="15.75" customHeight="1"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 ht="15.75" customHeight="1"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 ht="15.75" customHeight="1"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 ht="15.75" customHeight="1"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 ht="15.75" customHeight="1"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 ht="15.75" customHeight="1"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 ht="15.75" customHeight="1"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 ht="15.75" customHeight="1"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 ht="15.75" customHeight="1"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 ht="15.75" customHeight="1"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 ht="15.75" customHeight="1"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 ht="15.75" customHeight="1"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 ht="15.75" customHeight="1"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 ht="15.75" customHeight="1"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 ht="15.75" customHeight="1"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 ht="15.75" customHeight="1"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 ht="15.75" customHeight="1"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 ht="15.75" customHeight="1"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 ht="15.75" customHeight="1"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 ht="15.75" customHeight="1"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 ht="15.75" customHeight="1"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 ht="15.75" customHeight="1"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 ht="15.75" customHeight="1"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 ht="15.75" customHeight="1"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 ht="15.75" customHeight="1"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 ht="15.75" customHeight="1"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 ht="15.75" customHeight="1"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 ht="15.75" customHeight="1"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 ht="15.75" customHeight="1"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 ht="15.75" customHeight="1"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 ht="15.75" customHeight="1"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 ht="15.75" customHeight="1"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 ht="15.75" customHeight="1"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 ht="15.75" customHeight="1"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 ht="15.75" customHeight="1"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 ht="15.75" customHeight="1"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 ht="15.75" customHeight="1"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 ht="15.75" customHeight="1"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 ht="15.75" customHeight="1"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 ht="15.75" customHeight="1"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 ht="15.75" customHeight="1"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 ht="15.75" customHeight="1"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 ht="15.75" customHeight="1"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 ht="15.75" customHeight="1"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 ht="15.75" customHeight="1"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 ht="15.75" customHeight="1"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 ht="15.75" customHeight="1"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 ht="15.75" customHeight="1"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 ht="15.75" customHeight="1"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 ht="15.75" customHeight="1"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 ht="15.75" customHeight="1"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 ht="15.75" customHeight="1"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 ht="15.75" customHeight="1"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 ht="15.75" customHeight="1"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 ht="15.75" customHeight="1"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 ht="15.75" customHeight="1"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 ht="15.75" customHeight="1"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 ht="15.75" customHeight="1"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 ht="15.75" customHeight="1"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 ht="15.75" customHeight="1"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 ht="15.75" customHeight="1"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</sheetData>
  <autoFilter ref="$E$1:$T$309"/>
  <dataValidations>
    <dataValidation type="list" allowBlank="1" showErrorMessage="1" sqref="Q2:Q69">
      <formula1>'Datos del plan'!$B$1:$B$5</formula1>
    </dataValidation>
    <dataValidation type="list" allowBlank="1" showErrorMessage="1" sqref="P2:P69">
      <formula1>Datos!$B$1:$B$3</formula1>
    </dataValidation>
    <dataValidation type="list" allowBlank="1" showErrorMessage="1" sqref="R2:R69">
      <formula1>'Datos del plan'!$D$1:$D$2</formula1>
    </dataValidation>
    <dataValidation type="list" allowBlank="1" showErrorMessage="1" sqref="I2:I69">
      <formula1>'Datos del plan'!$A$1:$A$8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2.0"/>
    <col customWidth="1" min="3" max="3" width="46.29"/>
    <col customWidth="1" min="4" max="4" width="27.14"/>
    <col customWidth="1" min="10" max="10" width="18.43"/>
    <col customWidth="1" min="11" max="11" width="18.14"/>
    <col customWidth="1" min="12" max="12" width="19.29"/>
    <col customWidth="1" min="13" max="13" width="33.57"/>
  </cols>
  <sheetData>
    <row r="1">
      <c r="A1" s="23" t="s">
        <v>39</v>
      </c>
      <c r="B1" s="23" t="s">
        <v>43</v>
      </c>
      <c r="C1" s="23" t="s">
        <v>45</v>
      </c>
      <c r="D1" s="23" t="s">
        <v>47</v>
      </c>
      <c r="E1" s="23" t="s">
        <v>49</v>
      </c>
      <c r="F1" s="23" t="s">
        <v>50</v>
      </c>
      <c r="G1" s="23" t="s">
        <v>52</v>
      </c>
      <c r="H1" s="23" t="s">
        <v>53</v>
      </c>
      <c r="I1" s="23" t="s">
        <v>54</v>
      </c>
      <c r="J1" s="23" t="s">
        <v>55</v>
      </c>
      <c r="K1" s="23" t="s">
        <v>56</v>
      </c>
      <c r="L1" s="23" t="s">
        <v>58</v>
      </c>
      <c r="M1" s="23" t="s">
        <v>59</v>
      </c>
    </row>
    <row r="2" ht="106.5" customHeight="1">
      <c r="A2" s="24" t="s">
        <v>62</v>
      </c>
      <c r="B2" s="24"/>
      <c r="C2" s="24"/>
      <c r="D2" s="24"/>
      <c r="E2" s="24" t="s">
        <v>64</v>
      </c>
      <c r="F2" s="24" t="s">
        <v>66</v>
      </c>
      <c r="G2" s="25" t="s">
        <v>67</v>
      </c>
      <c r="H2" s="26" t="s">
        <v>71</v>
      </c>
      <c r="I2" s="24" t="s">
        <v>77</v>
      </c>
      <c r="J2" s="24" t="s">
        <v>28</v>
      </c>
      <c r="K2" s="28"/>
      <c r="L2" s="24"/>
      <c r="M2" s="2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16.14"/>
    <col customWidth="1" min="4" max="4" width="12.0"/>
    <col customWidth="1" min="5" max="5" width="5.0"/>
    <col customWidth="1" min="6" max="6" width="10.57"/>
    <col customWidth="1" min="7" max="11" width="10.71"/>
    <col customWidth="1" min="12" max="12" width="5.43"/>
    <col customWidth="1" min="13" max="26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38"/>
      <c r="C2" s="38"/>
      <c r="D2" s="3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38"/>
      <c r="C3" s="38"/>
      <c r="D3" s="3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38"/>
      <c r="C4" s="38"/>
      <c r="D4" s="38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39"/>
      <c r="C5" s="39"/>
      <c r="D5" s="40"/>
      <c r="E5" s="38"/>
      <c r="F5" s="38"/>
      <c r="G5" s="1"/>
      <c r="H5" s="1"/>
      <c r="I5" s="1"/>
      <c r="J5" s="1"/>
      <c r="K5" s="1"/>
      <c r="L5" s="1"/>
      <c r="M5" s="1"/>
      <c r="N5" s="1"/>
      <c r="O5" s="1"/>
      <c r="P5" s="4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42"/>
      <c r="B6" s="43" t="s">
        <v>325</v>
      </c>
      <c r="C6" s="44" t="s">
        <v>257</v>
      </c>
      <c r="D6" s="47">
        <f>COUNTIF('Plan de prueba'!Q2:Q318,Control!C6)</f>
        <v>0</v>
      </c>
      <c r="E6" s="48"/>
      <c r="F6" s="49"/>
      <c r="G6" s="1"/>
      <c r="H6" s="1"/>
      <c r="I6" s="1"/>
      <c r="J6" s="1"/>
      <c r="K6" s="1"/>
      <c r="L6" s="1"/>
      <c r="M6" s="1"/>
      <c r="N6" s="1"/>
      <c r="O6" s="1"/>
      <c r="P6" s="4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42"/>
      <c r="B7" s="50"/>
      <c r="C7" s="44" t="s">
        <v>259</v>
      </c>
      <c r="D7" s="47">
        <f>COUNTIF('Plan de prueba'!Q2:Q318,Control!C7)</f>
        <v>0</v>
      </c>
      <c r="E7" s="48"/>
      <c r="F7" s="4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42"/>
      <c r="B8" s="50"/>
      <c r="C8" s="44" t="s">
        <v>26</v>
      </c>
      <c r="D8" s="47">
        <f>COUNTIF('Plan de prueba'!Q2:Q318,C8)</f>
        <v>45</v>
      </c>
      <c r="E8" s="48"/>
      <c r="F8" s="49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42"/>
      <c r="B9" s="50"/>
      <c r="C9" s="44" t="s">
        <v>263</v>
      </c>
      <c r="D9" s="47">
        <f>COUNTIF('Plan de prueba'!Q2:Q318,C9)</f>
        <v>0</v>
      </c>
      <c r="E9" s="48"/>
      <c r="F9" s="49"/>
      <c r="G9" s="1"/>
      <c r="H9" s="1"/>
      <c r="I9" s="1"/>
      <c r="J9" s="1"/>
      <c r="K9" s="1"/>
      <c r="L9" s="1"/>
      <c r="M9" s="1"/>
      <c r="N9" s="1"/>
      <c r="O9" s="4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42"/>
      <c r="B10" s="50"/>
      <c r="C10" s="44" t="s">
        <v>265</v>
      </c>
      <c r="D10" s="47">
        <f>COUNTIF('Plan de prueba'!Q2:Q318,C10)</f>
        <v>0</v>
      </c>
      <c r="E10" s="48"/>
      <c r="F10" s="4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42"/>
      <c r="B11" s="51"/>
      <c r="C11" s="52" t="s">
        <v>326</v>
      </c>
      <c r="D11" s="47">
        <f>COUNTA(Defectos!A2:A307)</f>
        <v>1</v>
      </c>
      <c r="E11" s="5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54"/>
      <c r="C12" s="21"/>
      <c r="D12" s="5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56" t="s">
        <v>327</v>
      </c>
      <c r="C13" s="57"/>
      <c r="D13" s="58">
        <f>COUNTIF('Plan de prueba'!E2:E219,"*")</f>
        <v>45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59" t="s">
        <v>328</v>
      </c>
      <c r="C14" s="60"/>
      <c r="D14" s="61">
        <f>SUM(D6+D7+D9+D10)/D13</f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62"/>
      <c r="C15" s="63"/>
      <c r="D15" s="5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64" t="s">
        <v>329</v>
      </c>
      <c r="C18" s="65"/>
      <c r="D18" s="66" t="s">
        <v>28</v>
      </c>
      <c r="E18" s="57"/>
      <c r="F18" s="58">
        <f>COUNTIF('Plan de prueba'!$S$2:$S$69,D18)</f>
        <v>45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67"/>
      <c r="C19" s="18"/>
      <c r="D19" s="66" t="s">
        <v>330</v>
      </c>
      <c r="E19" s="57"/>
      <c r="F19" s="58">
        <f>COUNTIF('Plan de prueba'!$S$2:$S$69,D19)</f>
        <v>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67"/>
      <c r="C20" s="18"/>
      <c r="D20" s="66" t="s">
        <v>331</v>
      </c>
      <c r="E20" s="57"/>
      <c r="F20" s="58">
        <f>COUNTIF('Plan de prueba'!$S$2:$S$69,D20)</f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62"/>
      <c r="C21" s="68"/>
      <c r="D21" s="66"/>
      <c r="E21" s="57"/>
      <c r="F21" s="69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70" t="s">
        <v>332</v>
      </c>
      <c r="E23" s="71"/>
      <c r="F23" s="72">
        <f>SUM(F18:F21)</f>
        <v>45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7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D19:E19"/>
    <mergeCell ref="D20:E20"/>
    <mergeCell ref="D23:E23"/>
    <mergeCell ref="B12:C12"/>
    <mergeCell ref="B13:C13"/>
    <mergeCell ref="B14:C15"/>
    <mergeCell ref="D14:D15"/>
    <mergeCell ref="B18:C21"/>
    <mergeCell ref="D18:E18"/>
    <mergeCell ref="D21:E21"/>
    <mergeCell ref="B6:B1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32" t="s">
        <v>18</v>
      </c>
      <c r="B1" s="32" t="s">
        <v>25</v>
      </c>
    </row>
    <row r="2">
      <c r="A2" s="32" t="s">
        <v>42</v>
      </c>
      <c r="B2" s="32" t="s">
        <v>178</v>
      </c>
    </row>
    <row r="3">
      <c r="A3" s="32" t="s">
        <v>179</v>
      </c>
      <c r="B3" s="32" t="s">
        <v>180</v>
      </c>
    </row>
    <row r="9">
      <c r="F9" s="32"/>
      <c r="H9" s="32"/>
    </row>
    <row r="10">
      <c r="F10" s="32"/>
      <c r="H10" s="32"/>
    </row>
    <row r="11">
      <c r="F11" s="32"/>
      <c r="H11" s="32"/>
    </row>
    <row r="12">
      <c r="F12" s="32"/>
      <c r="H12" s="32"/>
    </row>
    <row r="13">
      <c r="F13" s="3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2.43"/>
    <col customWidth="1" min="3" max="3" width="6.29"/>
    <col customWidth="1" min="4" max="6" width="10.71"/>
  </cols>
  <sheetData>
    <row r="1" ht="14.25" customHeight="1">
      <c r="A1" s="32" t="s">
        <v>18</v>
      </c>
      <c r="B1" s="32" t="s">
        <v>257</v>
      </c>
      <c r="C1" s="32" t="s">
        <v>258</v>
      </c>
      <c r="D1" s="32" t="s">
        <v>27</v>
      </c>
    </row>
    <row r="2" ht="14.25" customHeight="1">
      <c r="A2" s="32" t="s">
        <v>42</v>
      </c>
      <c r="B2" s="32" t="s">
        <v>259</v>
      </c>
      <c r="C2" s="32" t="s">
        <v>260</v>
      </c>
      <c r="D2" s="32" t="s">
        <v>57</v>
      </c>
    </row>
    <row r="3" ht="14.25" customHeight="1">
      <c r="A3" s="32" t="s">
        <v>261</v>
      </c>
      <c r="B3" s="32" t="s">
        <v>26</v>
      </c>
      <c r="C3" s="32" t="s">
        <v>77</v>
      </c>
    </row>
    <row r="4" ht="14.25" customHeight="1">
      <c r="A4" s="32" t="s">
        <v>262</v>
      </c>
      <c r="B4" s="32" t="s">
        <v>263</v>
      </c>
    </row>
    <row r="5" ht="14.25" customHeight="1">
      <c r="A5" s="32" t="s">
        <v>264</v>
      </c>
      <c r="B5" s="32" t="s">
        <v>265</v>
      </c>
    </row>
    <row r="6" ht="14.25" customHeight="1">
      <c r="A6" s="32" t="s">
        <v>266</v>
      </c>
    </row>
    <row r="7" ht="14.25" customHeight="1">
      <c r="A7" s="32" t="s">
        <v>267</v>
      </c>
    </row>
    <row r="8" ht="14.25" customHeight="1">
      <c r="A8" s="32" t="s">
        <v>268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